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statemailokstate-my.sharepoint.com/personal/dmrodri_okstate_edu/Documents/FPST/FALL 2020/FPST 3213/"/>
    </mc:Choice>
  </mc:AlternateContent>
  <xr:revisionPtr revIDLastSave="0" documentId="8_{6BEE0422-56C9-4ED8-A6C7-D730A46B9E19}" xr6:coauthVersionLast="36" xr6:coauthVersionMax="36" xr10:uidLastSave="{00000000-0000-0000-0000-000000000000}"/>
  <bookViews>
    <workbookView xWindow="0" yWindow="0" windowWidth="21570" windowHeight="7980" xr2:uid="{00000000-000D-0000-FFFF-FFFF00000000}"/>
  </bookViews>
  <sheets>
    <sheet name="RULA Calculator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C32" i="1" s="1"/>
  <c r="Q20" i="1"/>
  <c r="C43" i="1" s="1"/>
  <c r="Q23" i="1" l="1"/>
  <c r="C44" i="1" s="1"/>
  <c r="C23" i="1"/>
  <c r="Q14" i="1" l="1"/>
  <c r="C40" i="1" s="1"/>
  <c r="Q11" i="1"/>
  <c r="Q8" i="1"/>
  <c r="C33" i="1"/>
  <c r="C17" i="1"/>
  <c r="C29" i="1" s="1"/>
  <c r="C14" i="1"/>
  <c r="C11" i="1"/>
  <c r="C8" i="1"/>
  <c r="J8" i="1"/>
  <c r="U11" i="1"/>
  <c r="S11" i="1"/>
  <c r="U8" i="1"/>
  <c r="S8" i="1"/>
  <c r="F14" i="1"/>
  <c r="F11" i="1"/>
  <c r="H8" i="1"/>
  <c r="F8" i="1"/>
  <c r="C26" i="1" l="1"/>
  <c r="C39" i="1"/>
  <c r="C38" i="1"/>
  <c r="C28" i="1"/>
  <c r="C27" i="1"/>
  <c r="C42" i="1" l="1"/>
  <c r="CB55" i="1"/>
  <c r="CB54" i="1"/>
  <c r="CB56" i="1"/>
  <c r="CB53" i="1"/>
  <c r="CB51" i="1"/>
  <c r="CB52" i="1"/>
  <c r="C31" i="1" l="1"/>
  <c r="C34" i="1" s="1"/>
  <c r="C45" i="1"/>
  <c r="G23" i="1" l="1"/>
</calcChain>
</file>

<file path=xl/sharedStrings.xml><?xml version="1.0" encoding="utf-8"?>
<sst xmlns="http://schemas.openxmlformats.org/spreadsheetml/2006/main" count="196" uniqueCount="90">
  <si>
    <t>Rapid Upper Limb Assessment Calculator</t>
  </si>
  <si>
    <t>ARM AND WRIST ANALYSIS</t>
  </si>
  <si>
    <t>Upper Arm</t>
  </si>
  <si>
    <t>Lower Arm</t>
  </si>
  <si>
    <t xml:space="preserve">Lower Arm </t>
  </si>
  <si>
    <t>Wrist</t>
  </si>
  <si>
    <t>Muscle Use</t>
  </si>
  <si>
    <t>Force/Load</t>
  </si>
  <si>
    <t>Wrist Twist</t>
  </si>
  <si>
    <t>Is shoulder raised?</t>
  </si>
  <si>
    <t>Is arm supported or person leaning?</t>
  </si>
  <si>
    <t>Is upper arm abducted?</t>
  </si>
  <si>
    <t>Is either arm working across midline or out to the side of the body?</t>
  </si>
  <si>
    <t>Is wrist bent from midline?</t>
  </si>
  <si>
    <t>NECK, TRUNK, AND LEG ANALYSIS</t>
  </si>
  <si>
    <t>Trunk</t>
  </si>
  <si>
    <t>Legs</t>
  </si>
  <si>
    <t>Muscle Use Score</t>
  </si>
  <si>
    <t>RESULTS</t>
  </si>
  <si>
    <t xml:space="preserve">Neck </t>
  </si>
  <si>
    <t>Wrist Score</t>
  </si>
  <si>
    <t>Table A</t>
  </si>
  <si>
    <t>RULA Score</t>
  </si>
  <si>
    <t>Wrist / Arm Score</t>
  </si>
  <si>
    <t>Neck, Trunk, Leg Score</t>
  </si>
  <si>
    <t>Table C</t>
  </si>
  <si>
    <t>Posture Score</t>
  </si>
  <si>
    <t>Table B</t>
  </si>
  <si>
    <t>Tables</t>
  </si>
  <si>
    <t>Neutral (+1)</t>
  </si>
  <si>
    <t>Wrist is twisted in mid-range (+1)</t>
  </si>
  <si>
    <t>Wrist is at or near end of range (+2)</t>
  </si>
  <si>
    <t xml:space="preserve">// </t>
  </si>
  <si>
    <t>in extension (+4)</t>
  </si>
  <si>
    <t>Neck</t>
  </si>
  <si>
    <t>Feet are not supported (+2)</t>
  </si>
  <si>
    <t>Feet are supported (+1)</t>
  </si>
  <si>
    <t>Force / Load</t>
  </si>
  <si>
    <t>4.4 - 22 lbs (intermittant (+1)</t>
  </si>
  <si>
    <t>&gt; 22 lbs or repeated or shocks (+3)</t>
  </si>
  <si>
    <t>Yes</t>
  </si>
  <si>
    <t>No</t>
  </si>
  <si>
    <t xml:space="preserve">Is neck twisted? </t>
  </si>
  <si>
    <t>Is neck side bending?</t>
  </si>
  <si>
    <t>Is trunk twisted?</t>
  </si>
  <si>
    <t>Is trunk side bending?</t>
  </si>
  <si>
    <t>Upper Arm Score</t>
  </si>
  <si>
    <t>Lower Arm Score</t>
  </si>
  <si>
    <t>Wrist Twist Score</t>
  </si>
  <si>
    <t>Posture Score A</t>
  </si>
  <si>
    <t>Force/Load Score</t>
  </si>
  <si>
    <t>Arm and Wrist Score</t>
  </si>
  <si>
    <t>Neck Score</t>
  </si>
  <si>
    <t>Trunk Score</t>
  </si>
  <si>
    <t>Leg Score</t>
  </si>
  <si>
    <t>Posture Score B</t>
  </si>
  <si>
    <t>Force / Load Score</t>
  </si>
  <si>
    <t>//</t>
  </si>
  <si>
    <t>20˚ extension to 20˚ flexion (+1)</t>
  </si>
  <si>
    <t>&gt; 20˚ extension (+2)</t>
  </si>
  <si>
    <t>20-45˚ flexion (+2)</t>
  </si>
  <si>
    <t>45-90˚ flexion (+3)</t>
  </si>
  <si>
    <t>&gt; 90˚ flexion (+4)</t>
  </si>
  <si>
    <t>60 - 100˚ flexion (+1)</t>
  </si>
  <si>
    <t>0 - 60˚ flexion (+2)</t>
  </si>
  <si>
    <t>&gt; 100˚ flexion (+2)</t>
  </si>
  <si>
    <t>0 - 15˚ flexion (+2)</t>
  </si>
  <si>
    <t>0 - 15˚ extension (+2)</t>
  </si>
  <si>
    <t>&gt; 15˚ flexion (+3)</t>
  </si>
  <si>
    <t>&gt; 15˚ extension (+3)</t>
  </si>
  <si>
    <t>0 - 10˚ flexion (+1)</t>
  </si>
  <si>
    <t>10 - 20˚ flexion (+2)</t>
  </si>
  <si>
    <t>&gt; 20˚ flexion (+3)</t>
  </si>
  <si>
    <t>0 - 20˚ flexion (+2)</t>
  </si>
  <si>
    <t>20 - 60˚ flexion (+3)</t>
  </si>
  <si>
    <t>&gt; 60˚ flexion (+4)</t>
  </si>
  <si>
    <t>Wrist  Score</t>
  </si>
  <si>
    <t>Use simple VLOOKUP to determine final score.</t>
  </si>
  <si>
    <t xml:space="preserve">If trunk is X, do a VLOOKUP using appropriate leg/neck array and use MATCH with leg score to determine column number inside VLOOKUP. Use if/then statements to put it together. </t>
  </si>
  <si>
    <t>If wrist is X, do a VLOOKUP with appropriate wrist twist/lower arm array and then use MATCH to find appropriate column inside the VLOOKUP. Use if/then statements to put it together. I'll need 6 of these. Then somehow I'll use if/then statements to match the upper arm score with the answer from the three-way (wrist, wrist twist, lower arm) lookup. That will basically create a four-way lookup.</t>
  </si>
  <si>
    <t xml:space="preserve">Upper Arm Score 1 </t>
  </si>
  <si>
    <t>Upper Arm Score 2</t>
  </si>
  <si>
    <t>Upper Arm Score 3</t>
  </si>
  <si>
    <t>Upper Arm Score 4</t>
  </si>
  <si>
    <t>Upper Arm Score 5</t>
  </si>
  <si>
    <t>Upper Arm Score 6</t>
  </si>
  <si>
    <t>Posture is mainly dynamic (held &lt; 1 minute) or action repeated occurs &lt; 4X per minute (+0)</t>
  </si>
  <si>
    <t>Posture is mainly static (i.e. held &gt; 1 minute) or action repeated occurs 4X per minute (+1)</t>
  </si>
  <si>
    <t>&lt; 4.4 lbs (intermittant (+0)</t>
  </si>
  <si>
    <t>4.4 - 22 lbs (static or repeated) (+2)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</si>
</sst>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Gadugi"/>
      <family val="2"/>
    </font>
    <font>
      <b/>
      <sz val="18"/>
      <color theme="0"/>
      <name val="Gadugi"/>
      <family val="2"/>
    </font>
    <font>
      <b/>
      <sz val="14"/>
      <color theme="1"/>
      <name val="Gadugi"/>
      <family val="2"/>
    </font>
    <font>
      <sz val="9"/>
      <color theme="1"/>
      <name val="Gadugi"/>
      <family val="2"/>
    </font>
    <font>
      <b/>
      <sz val="36"/>
      <color theme="0"/>
      <name val="Gadugi"/>
      <family val="2"/>
    </font>
    <font>
      <b/>
      <sz val="24"/>
      <color theme="0"/>
      <name val="Gadugi"/>
      <family val="2"/>
    </font>
    <font>
      <b/>
      <sz val="11"/>
      <color theme="1"/>
      <name val="Gadugi"/>
      <family val="2"/>
    </font>
    <font>
      <b/>
      <sz val="12"/>
      <color theme="1"/>
      <name val="Gadugi"/>
      <family val="2"/>
    </font>
    <font>
      <sz val="11"/>
      <color theme="1" tint="0.34998626667073579"/>
      <name val="Gadugi"/>
      <family val="2"/>
    </font>
    <font>
      <sz val="10"/>
      <color theme="1" tint="0.34998626667073579"/>
      <name val="Gadugi"/>
      <family val="2"/>
    </font>
    <font>
      <b/>
      <sz val="14"/>
      <color theme="1" tint="0.34998626667073579"/>
      <name val="Gadugi"/>
      <family val="2"/>
    </font>
    <font>
      <sz val="10"/>
      <color theme="0"/>
      <name val="Gadug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47BC2"/>
        <bgColor indexed="64"/>
      </patternFill>
    </fill>
    <fill>
      <patternFill patternType="solid">
        <fgColor rgb="FFEDEF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8B8B"/>
        <bgColor indexed="64"/>
      </patternFill>
    </fill>
    <fill>
      <patternFill patternType="solid">
        <fgColor rgb="FFF3DF89"/>
        <bgColor indexed="64"/>
      </patternFill>
    </fill>
    <fill>
      <patternFill patternType="solid">
        <fgColor rgb="FF7DE6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BEB7AA"/>
        <bgColor indexed="64"/>
      </patternFill>
    </fill>
    <fill>
      <patternFill patternType="solid">
        <fgColor rgb="FFFFCCCC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0" fillId="9" borderId="1" xfId="0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3" fillId="2" borderId="0" xfId="0" applyFont="1" applyFill="1" applyProtection="1"/>
    <xf numFmtId="0" fontId="4" fillId="3" borderId="0" xfId="0" applyFont="1" applyFill="1" applyAlignment="1">
      <alignment vertical="center"/>
    </xf>
    <xf numFmtId="0" fontId="3" fillId="3" borderId="0" xfId="0" applyFont="1" applyFill="1"/>
    <xf numFmtId="0" fontId="3" fillId="2" borderId="0" xfId="0" applyFont="1" applyFill="1"/>
    <xf numFmtId="0" fontId="3" fillId="2" borderId="0" xfId="0" applyFont="1" applyFill="1" applyAlignment="1">
      <alignment vertical="top"/>
    </xf>
    <xf numFmtId="0" fontId="5" fillId="2" borderId="0" xfId="0" applyFont="1" applyFill="1"/>
    <xf numFmtId="0" fontId="6" fillId="2" borderId="0" xfId="0" applyFont="1" applyFill="1"/>
    <xf numFmtId="0" fontId="3" fillId="4" borderId="0" xfId="0" applyFont="1" applyFill="1" applyAlignment="1" applyProtection="1">
      <alignment horizontal="left" vertical="center" indent="2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3" fillId="4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>
      <alignment horizontal="left" indent="2"/>
    </xf>
    <xf numFmtId="0" fontId="3" fillId="2" borderId="0" xfId="0" applyFont="1" applyFill="1" applyAlignment="1"/>
    <xf numFmtId="0" fontId="5" fillId="2" borderId="0" xfId="0" applyFont="1" applyFill="1" applyAlignment="1">
      <alignment vertical="top"/>
    </xf>
    <xf numFmtId="0" fontId="9" fillId="2" borderId="0" xfId="0" applyFont="1" applyFill="1"/>
    <xf numFmtId="0" fontId="10" fillId="2" borderId="0" xfId="0" applyFont="1" applyFill="1"/>
    <xf numFmtId="0" fontId="3" fillId="2" borderId="11" xfId="0" applyFont="1" applyFill="1" applyBorder="1"/>
    <xf numFmtId="0" fontId="3" fillId="7" borderId="2" xfId="0" applyFont="1" applyFill="1" applyBorder="1" applyAlignment="1">
      <alignment vertical="center" wrapText="1"/>
    </xf>
    <xf numFmtId="0" fontId="3" fillId="9" borderId="1" xfId="0" applyFont="1" applyFill="1" applyBorder="1" applyAlignment="1">
      <alignment horizontal="center"/>
    </xf>
    <xf numFmtId="0" fontId="3" fillId="7" borderId="4" xfId="0" applyFont="1" applyFill="1" applyBorder="1" applyAlignment="1">
      <alignment vertical="center" wrapText="1"/>
    </xf>
    <xf numFmtId="0" fontId="3" fillId="7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 wrapText="1"/>
    </xf>
    <xf numFmtId="0" fontId="3" fillId="11" borderId="10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0" borderId="0" xfId="0" applyFont="1"/>
    <xf numFmtId="0" fontId="5" fillId="2" borderId="0" xfId="0" applyFont="1" applyFill="1" applyAlignment="1"/>
    <xf numFmtId="0" fontId="12" fillId="2" borderId="0" xfId="0" applyFont="1" applyFill="1" applyAlignment="1">
      <alignment horizontal="center" vertical="center" wrapText="1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" fillId="2" borderId="0" xfId="0" applyFont="1" applyFill="1" applyAlignment="1" applyProtection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top" wrapText="1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left" vertical="center" wrapText="1"/>
    </xf>
    <xf numFmtId="0" fontId="5" fillId="2" borderId="1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47BC2"/>
      <color rgb="FF2CB0AD"/>
      <color rgb="FFEDEFF0"/>
      <color rgb="FFFFCCCC"/>
      <color rgb="FFBEB7AA"/>
      <color rgb="FFDCDCDC"/>
      <color rgb="FF6699FF"/>
      <color rgb="FFCC99FF"/>
      <color rgb="FFF3DF89"/>
      <color rgb="FFF1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219075</xdr:rowOff>
    </xdr:from>
    <xdr:to>
      <xdr:col>1</xdr:col>
      <xdr:colOff>1828800</xdr:colOff>
      <xdr:row>0</xdr:row>
      <xdr:rowOff>581025</xdr:rowOff>
    </xdr:to>
    <xdr:pic>
      <xdr:nvPicPr>
        <xdr:cNvPr id="2" name="Picture 1" descr="http://ergo-plus.com/wp-content/uploads/newlogosmall1.jpg">
          <a:extLst>
            <a:ext uri="{FF2B5EF4-FFF2-40B4-BE49-F238E27FC236}">
              <a16:creationId xmlns:a16="http://schemas.microsoft.com/office/drawing/2014/main" id="{43BEB3A8-A713-4983-8A0A-0B8C62F12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219075"/>
          <a:ext cx="18097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447674</xdr:colOff>
      <xdr:row>0</xdr:row>
      <xdr:rowOff>180975</xdr:rowOff>
    </xdr:from>
    <xdr:to>
      <xdr:col>21</xdr:col>
      <xdr:colOff>209549</xdr:colOff>
      <xdr:row>0</xdr:row>
      <xdr:rowOff>590550</xdr:rowOff>
    </xdr:to>
    <xdr:sp macro="[0]!clear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B5A6611-0821-45AE-B831-0B7B3E7BE301}"/>
            </a:ext>
          </a:extLst>
        </xdr:cNvPr>
        <xdr:cNvSpPr/>
      </xdr:nvSpPr>
      <xdr:spPr>
        <a:xfrm>
          <a:off x="11868149" y="180975"/>
          <a:ext cx="1343025" cy="409575"/>
        </a:xfrm>
        <a:prstGeom prst="roundRect">
          <a:avLst/>
        </a:prstGeom>
        <a:solidFill>
          <a:srgbClr val="2CB0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Page</a:t>
          </a:r>
        </a:p>
      </xdr:txBody>
    </xdr:sp>
    <xdr:clientData/>
  </xdr:twoCellAnchor>
  <xdr:twoCellAnchor editAs="oneCell">
    <xdr:from>
      <xdr:col>3</xdr:col>
      <xdr:colOff>130968</xdr:colOff>
      <xdr:row>15</xdr:row>
      <xdr:rowOff>14287</xdr:rowOff>
    </xdr:from>
    <xdr:to>
      <xdr:col>10</xdr:col>
      <xdr:colOff>556681</xdr:colOff>
      <xdr:row>21</xdr:row>
      <xdr:rowOff>40251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CBF7D30-EC48-487F-B130-971FA747B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59906" y="4491037"/>
          <a:ext cx="4235713" cy="183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228600</xdr:rowOff>
    </xdr:from>
    <xdr:to>
      <xdr:col>4</xdr:col>
      <xdr:colOff>152400</xdr:colOff>
      <xdr:row>0</xdr:row>
      <xdr:rowOff>590550</xdr:rowOff>
    </xdr:to>
    <xdr:pic>
      <xdr:nvPicPr>
        <xdr:cNvPr id="2" name="Picture 1" descr="http://ergo-plus.com/wp-content/uploads/newlogosmall1.jpg">
          <a:extLst>
            <a:ext uri="{FF2B5EF4-FFF2-40B4-BE49-F238E27FC236}">
              <a16:creationId xmlns:a16="http://schemas.microsoft.com/office/drawing/2014/main" id="{9EDE4A9A-F931-4266-B4B7-3903207CD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28600"/>
          <a:ext cx="18097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CB165"/>
  <sheetViews>
    <sheetView tabSelected="1" zoomScaleNormal="100" workbookViewId="0">
      <selection activeCell="B8" sqref="B8"/>
    </sheetView>
  </sheetViews>
  <sheetFormatPr defaultRowHeight="15" x14ac:dyDescent="0.25"/>
  <cols>
    <col min="1" max="1" width="3.5703125" style="47" customWidth="1"/>
    <col min="2" max="2" width="36.28515625" style="47" customWidth="1"/>
    <col min="3" max="3" width="5.85546875" style="47" customWidth="1"/>
    <col min="4" max="4" width="2.28515625" style="47" customWidth="1"/>
    <col min="5" max="5" width="9.140625" style="47"/>
    <col min="6" max="6" width="7.85546875" style="47" customWidth="1"/>
    <col min="7" max="7" width="9.140625" style="47"/>
    <col min="8" max="8" width="10.5703125" style="47" customWidth="1"/>
    <col min="9" max="10" width="9.140625" style="47"/>
    <col min="11" max="11" width="8.42578125" style="47" customWidth="1"/>
    <col min="12" max="12" width="3.42578125" style="47" customWidth="1"/>
    <col min="13" max="13" width="1.7109375" style="47" customWidth="1"/>
    <col min="14" max="14" width="3.28515625" style="47" customWidth="1"/>
    <col min="15" max="15" width="1.28515625" style="47" customWidth="1"/>
    <col min="16" max="16" width="37.42578125" style="47" customWidth="1"/>
    <col min="17" max="17" width="6.85546875" style="57" customWidth="1"/>
    <col min="18" max="18" width="8.42578125" style="47" customWidth="1"/>
    <col min="19" max="19" width="10.7109375" style="47" customWidth="1"/>
    <col min="20" max="20" width="8.28515625" style="47" customWidth="1"/>
    <col min="21" max="27" width="4.7109375" style="47" customWidth="1"/>
    <col min="28" max="16384" width="9.140625" style="47"/>
  </cols>
  <sheetData>
    <row r="1" spans="2:21" s="14" customFormat="1" ht="54.75" customHeight="1" x14ac:dyDescent="0.25">
      <c r="Q1" s="53"/>
    </row>
    <row r="2" spans="2:21" s="16" customFormat="1" ht="50.25" customHeight="1" x14ac:dyDescent="0.25">
      <c r="B2" s="15" t="s">
        <v>0</v>
      </c>
      <c r="C2" s="15"/>
      <c r="Q2" s="54"/>
    </row>
    <row r="3" spans="2:21" s="17" customFormat="1" ht="14.25" customHeight="1" x14ac:dyDescent="0.25">
      <c r="Q3" s="55"/>
    </row>
    <row r="4" spans="2:21" s="17" customFormat="1" ht="15" customHeight="1" x14ac:dyDescent="0.25">
      <c r="Q4" s="55"/>
    </row>
    <row r="5" spans="2:21" s="17" customFormat="1" ht="17.25" customHeight="1" x14ac:dyDescent="0.25">
      <c r="B5" s="18" t="s">
        <v>1</v>
      </c>
      <c r="C5" s="18"/>
      <c r="P5" s="17" t="s">
        <v>14</v>
      </c>
      <c r="Q5" s="55"/>
    </row>
    <row r="6" spans="2:21" s="17" customFormat="1" ht="13.5" customHeight="1" x14ac:dyDescent="0.25">
      <c r="Q6" s="55"/>
    </row>
    <row r="7" spans="2:21" s="17" customFormat="1" ht="21.95" customHeight="1" x14ac:dyDescent="0.25">
      <c r="B7" s="19" t="s">
        <v>2</v>
      </c>
      <c r="C7" s="19"/>
      <c r="E7" s="20" t="s">
        <v>9</v>
      </c>
      <c r="G7" s="20" t="s">
        <v>11</v>
      </c>
      <c r="I7" s="20" t="s">
        <v>10</v>
      </c>
      <c r="P7" s="19" t="s">
        <v>19</v>
      </c>
      <c r="Q7" s="55"/>
      <c r="R7" s="20" t="s">
        <v>42</v>
      </c>
      <c r="T7" s="20" t="s">
        <v>43</v>
      </c>
    </row>
    <row r="8" spans="2:21" s="17" customFormat="1" ht="26.25" customHeight="1" x14ac:dyDescent="0.25">
      <c r="B8" s="21"/>
      <c r="C8" s="49" t="str">
        <f>IF(B8="","",VLOOKUP(B8,B52:C56,2,FALSE))</f>
        <v/>
      </c>
      <c r="E8" s="22"/>
      <c r="F8" s="52" t="str">
        <f>IF(E8="","",IF(E8="Yes",1,0))</f>
        <v/>
      </c>
      <c r="G8" s="22"/>
      <c r="H8" s="52" t="str">
        <f>IF(G8="","",IF(G8="Yes",1,0))</f>
        <v/>
      </c>
      <c r="I8" s="22"/>
      <c r="J8" s="52" t="str">
        <f>IF(I8="","",IF(I8="Yes",-1,0))</f>
        <v/>
      </c>
      <c r="P8" s="21"/>
      <c r="Q8" s="52" t="str">
        <f>IF(P8="","",VLOOKUP(P8,B88:C91,2,FALSE))</f>
        <v/>
      </c>
      <c r="R8" s="22"/>
      <c r="S8" s="52" t="str">
        <f>IF(R8="","",IF(R8="Yes",1,0))</f>
        <v/>
      </c>
      <c r="T8" s="22"/>
      <c r="U8" s="52" t="str">
        <f>IF(T8="","",IF(T8="Yes",1,0))</f>
        <v/>
      </c>
    </row>
    <row r="9" spans="2:21" s="17" customFormat="1" ht="15" customHeight="1" x14ac:dyDescent="0.25">
      <c r="C9" s="50"/>
      <c r="Q9" s="50"/>
    </row>
    <row r="10" spans="2:21" s="17" customFormat="1" ht="21.95" customHeight="1" x14ac:dyDescent="0.25">
      <c r="B10" s="19" t="s">
        <v>4</v>
      </c>
      <c r="C10" s="51"/>
      <c r="E10" s="20" t="s">
        <v>12</v>
      </c>
      <c r="P10" s="19" t="s">
        <v>15</v>
      </c>
      <c r="Q10" s="50"/>
      <c r="R10" s="20" t="s">
        <v>44</v>
      </c>
      <c r="T10" s="20" t="s">
        <v>45</v>
      </c>
    </row>
    <row r="11" spans="2:21" s="17" customFormat="1" ht="26.25" customHeight="1" x14ac:dyDescent="0.25">
      <c r="B11" s="21"/>
      <c r="C11" s="52" t="str">
        <f>IF(B11="","",VLOOKUP(B11,B60:C62,2,FALSE))</f>
        <v/>
      </c>
      <c r="E11" s="22"/>
      <c r="F11" s="52" t="str">
        <f>IF(E11="","",IF(E11="Yes",1,0))</f>
        <v/>
      </c>
      <c r="P11" s="21"/>
      <c r="Q11" s="52" t="str">
        <f>IF(P11="","",VLOOKUP(P11,B96:C99,2,FALSE))</f>
        <v/>
      </c>
      <c r="R11" s="22"/>
      <c r="S11" s="52" t="str">
        <f>IF(R11="","",IF(R11="Yes",1,0))</f>
        <v/>
      </c>
      <c r="T11" s="22"/>
      <c r="U11" s="52" t="str">
        <f>IF(T11="","",IF(T11="Yes",1,0))</f>
        <v/>
      </c>
    </row>
    <row r="12" spans="2:21" s="17" customFormat="1" ht="15" customHeight="1" x14ac:dyDescent="0.25">
      <c r="C12" s="50"/>
      <c r="Q12" s="50"/>
    </row>
    <row r="13" spans="2:21" s="17" customFormat="1" ht="21.95" customHeight="1" x14ac:dyDescent="0.25">
      <c r="B13" s="19" t="s">
        <v>5</v>
      </c>
      <c r="C13" s="51"/>
      <c r="E13" s="20" t="s">
        <v>13</v>
      </c>
      <c r="P13" s="19" t="s">
        <v>16</v>
      </c>
      <c r="Q13" s="50"/>
    </row>
    <row r="14" spans="2:21" s="17" customFormat="1" ht="26.25" customHeight="1" x14ac:dyDescent="0.25">
      <c r="B14" s="21"/>
      <c r="C14" s="52" t="str">
        <f>IF(B14="","",VLOOKUP(B14,B65:C69,2,FALSE))</f>
        <v/>
      </c>
      <c r="E14" s="22"/>
      <c r="F14" s="52" t="str">
        <f>IF(E14="","",IF(E14="Yes",1,0))</f>
        <v/>
      </c>
      <c r="P14" s="21"/>
      <c r="Q14" s="52" t="str">
        <f>IF(P14="","",VLOOKUP(P14,B103:C104,2,FALSE))</f>
        <v/>
      </c>
    </row>
    <row r="15" spans="2:21" s="17" customFormat="1" ht="15" customHeight="1" x14ac:dyDescent="0.25">
      <c r="C15" s="50"/>
      <c r="Q15" s="55"/>
    </row>
    <row r="16" spans="2:21" s="17" customFormat="1" ht="21.75" customHeight="1" x14ac:dyDescent="0.25">
      <c r="B16" s="19" t="s">
        <v>8</v>
      </c>
      <c r="C16" s="51"/>
      <c r="Q16" s="55"/>
    </row>
    <row r="17" spans="2:17" s="17" customFormat="1" ht="26.25" customHeight="1" x14ac:dyDescent="0.25">
      <c r="B17" s="21"/>
      <c r="C17" s="52" t="str">
        <f>IF(B17="","",VLOOKUP(B17,B73:C74,2,FALSE))</f>
        <v/>
      </c>
      <c r="Q17" s="55"/>
    </row>
    <row r="18" spans="2:17" s="17" customFormat="1" ht="15" customHeight="1" x14ac:dyDescent="0.25">
      <c r="C18" s="50"/>
      <c r="Q18" s="55"/>
    </row>
    <row r="19" spans="2:17" s="17" customFormat="1" ht="21.95" customHeight="1" x14ac:dyDescent="0.25">
      <c r="B19" s="19" t="s">
        <v>6</v>
      </c>
      <c r="C19" s="51"/>
      <c r="P19" s="19" t="s">
        <v>6</v>
      </c>
      <c r="Q19" s="55"/>
    </row>
    <row r="20" spans="2:17" s="17" customFormat="1" ht="43.5" customHeight="1" x14ac:dyDescent="0.25">
      <c r="B20" s="24"/>
      <c r="C20" s="52" t="str">
        <f>IF(B20="","",VLOOKUP(B20,B78:C83,2,FALSE))</f>
        <v/>
      </c>
      <c r="P20" s="24"/>
      <c r="Q20" s="52" t="str">
        <f>IF(P20="","",VLOOKUP(P20,B78:C83,2,FALSE))</f>
        <v/>
      </c>
    </row>
    <row r="21" spans="2:17" s="17" customFormat="1" ht="15" customHeight="1" x14ac:dyDescent="0.25">
      <c r="B21" s="25"/>
      <c r="C21" s="50"/>
      <c r="P21" s="25"/>
      <c r="Q21" s="56"/>
    </row>
    <row r="22" spans="2:17" s="17" customFormat="1" ht="21.95" customHeight="1" x14ac:dyDescent="0.25">
      <c r="B22" s="19" t="s">
        <v>7</v>
      </c>
      <c r="C22" s="51"/>
      <c r="P22" s="19" t="s">
        <v>7</v>
      </c>
      <c r="Q22" s="56"/>
    </row>
    <row r="23" spans="2:17" s="17" customFormat="1" ht="26.25" customHeight="1" x14ac:dyDescent="0.25">
      <c r="B23" s="21"/>
      <c r="C23" s="52" t="str">
        <f>IF(B23="","",VLOOKUP(B23,B108:C111,2,FALSE))</f>
        <v/>
      </c>
      <c r="E23" s="48" t="s">
        <v>22</v>
      </c>
      <c r="F23" s="26"/>
      <c r="G23" s="85" t="str">
        <f>IF(C42="","",VLOOKUP(C34,AC91:AJ106,MATCH(C45,AC91:AJ91),FALSE))</f>
        <v/>
      </c>
      <c r="H23" s="85"/>
      <c r="I23" s="85"/>
      <c r="J23" s="85"/>
      <c r="P23" s="21"/>
      <c r="Q23" s="52" t="str">
        <f>IF(P23="","",VLOOKUP(P23,B108:C111,2,FALSE))</f>
        <v/>
      </c>
    </row>
    <row r="24" spans="2:17" s="17" customFormat="1" ht="50.25" customHeight="1" x14ac:dyDescent="0.25">
      <c r="E24" s="26"/>
      <c r="F24" s="26"/>
      <c r="G24" s="85"/>
      <c r="H24" s="85"/>
      <c r="I24" s="85"/>
      <c r="J24" s="85"/>
      <c r="Q24" s="55"/>
    </row>
    <row r="25" spans="2:17" s="17" customFormat="1" ht="48.75" customHeight="1" x14ac:dyDescent="0.25">
      <c r="B25" s="23" t="s">
        <v>18</v>
      </c>
      <c r="Q25" s="55"/>
    </row>
    <row r="26" spans="2:17" s="17" customFormat="1" ht="18" customHeight="1" x14ac:dyDescent="0.25">
      <c r="B26" s="17" t="s">
        <v>46</v>
      </c>
      <c r="C26" s="17" t="str">
        <f>IF(C8="","",C8+F8+H8+J8)</f>
        <v/>
      </c>
      <c r="Q26" s="55"/>
    </row>
    <row r="27" spans="2:17" s="17" customFormat="1" ht="18" customHeight="1" x14ac:dyDescent="0.25">
      <c r="B27" s="17" t="s">
        <v>47</v>
      </c>
      <c r="C27" s="17" t="str">
        <f>IF(C11="","",C11+F11)</f>
        <v/>
      </c>
      <c r="P27" s="27"/>
      <c r="Q27" s="55"/>
    </row>
    <row r="28" spans="2:17" s="17" customFormat="1" ht="18" customHeight="1" x14ac:dyDescent="0.25">
      <c r="B28" s="17" t="s">
        <v>76</v>
      </c>
      <c r="C28" s="17" t="str">
        <f>IF(C14="","",C14+F14)</f>
        <v/>
      </c>
      <c r="P28" s="65"/>
      <c r="Q28" s="55"/>
    </row>
    <row r="29" spans="2:17" s="17" customFormat="1" ht="18" customHeight="1" x14ac:dyDescent="0.25">
      <c r="B29" s="17" t="s">
        <v>48</v>
      </c>
      <c r="C29" s="17" t="str">
        <f>IF(C17="","",C17)</f>
        <v/>
      </c>
      <c r="P29" s="65"/>
      <c r="Q29" s="55"/>
    </row>
    <row r="30" spans="2:17" s="17" customFormat="1" ht="18" customHeight="1" x14ac:dyDescent="0.25">
      <c r="P30" s="65"/>
      <c r="Q30" s="55"/>
    </row>
    <row r="31" spans="2:17" s="17" customFormat="1" ht="18" customHeight="1" x14ac:dyDescent="0.25">
      <c r="B31" s="17" t="s">
        <v>49</v>
      </c>
      <c r="C31" s="17" t="str">
        <f>IF(C29="","",IF(C26=1,CB51,IF(C26=2,CB52,IF(C26=3,CB53,IF(C26=4,CB54,IF(C26=5,CB55,IF(C26=6,CB56)))))))</f>
        <v/>
      </c>
      <c r="Q31" s="55"/>
    </row>
    <row r="32" spans="2:17" s="17" customFormat="1" ht="18" customHeight="1" x14ac:dyDescent="0.25">
      <c r="B32" s="17" t="s">
        <v>17</v>
      </c>
      <c r="C32" s="17" t="str">
        <f>IF(C20="","",C20)</f>
        <v/>
      </c>
      <c r="Q32" s="55"/>
    </row>
    <row r="33" spans="2:39" s="17" customFormat="1" ht="18" customHeight="1" x14ac:dyDescent="0.25">
      <c r="B33" s="17" t="s">
        <v>50</v>
      </c>
      <c r="C33" s="17" t="str">
        <f>IF(C23="","",C23)</f>
        <v/>
      </c>
      <c r="Q33" s="55"/>
    </row>
    <row r="34" spans="2:39" s="17" customFormat="1" ht="18" customHeight="1" x14ac:dyDescent="0.25">
      <c r="B34" s="28" t="s">
        <v>51</v>
      </c>
      <c r="C34" s="17">
        <f>SUM(C31:C33)</f>
        <v>0</v>
      </c>
      <c r="Q34" s="55"/>
    </row>
    <row r="35" spans="2:39" s="17" customFormat="1" x14ac:dyDescent="0.25">
      <c r="Q35" s="55"/>
    </row>
    <row r="36" spans="2:39" s="17" customFormat="1" x14ac:dyDescent="0.25">
      <c r="Q36" s="55"/>
    </row>
    <row r="37" spans="2:39" s="17" customFormat="1" x14ac:dyDescent="0.25">
      <c r="Q37" s="55"/>
    </row>
    <row r="38" spans="2:39" s="17" customFormat="1" x14ac:dyDescent="0.25">
      <c r="B38" s="17" t="s">
        <v>52</v>
      </c>
      <c r="C38" s="17" t="str">
        <f>IF(Q8="","",Q8+S8+U8)</f>
        <v/>
      </c>
      <c r="Q38" s="55"/>
    </row>
    <row r="39" spans="2:39" s="17" customFormat="1" x14ac:dyDescent="0.25">
      <c r="B39" s="17" t="s">
        <v>53</v>
      </c>
      <c r="C39" s="17" t="str">
        <f>IF(Q11="","",Q11+S11+U11)</f>
        <v/>
      </c>
      <c r="Q39" s="55"/>
    </row>
    <row r="40" spans="2:39" s="17" customFormat="1" x14ac:dyDescent="0.25">
      <c r="B40" s="17" t="s">
        <v>54</v>
      </c>
      <c r="C40" s="17" t="str">
        <f>IF(Q14="","",Q14)</f>
        <v/>
      </c>
      <c r="Q40" s="55"/>
    </row>
    <row r="41" spans="2:39" s="17" customFormat="1" x14ac:dyDescent="0.25">
      <c r="Q41" s="55"/>
    </row>
    <row r="42" spans="2:39" s="17" customFormat="1" x14ac:dyDescent="0.25">
      <c r="B42" s="17" t="s">
        <v>55</v>
      </c>
      <c r="C42" s="17" t="str">
        <f>IF(C44="","",IF(C39=1,VLOOKUP($C$38,AR81:AT86,MATCH(C40,AR80:AT80),FALSE),IF(C39=2,VLOOKUP($C$38,AW81:AY86,MATCH(C40,AW80:AY80),FALSE),IF(C39=3,VLOOKUP($C$38,BB81:BD86,MATCH(C40,BB80:BD80),FALSE),IF(C39=4,VLOOKUP($C$38,BG81:BI86,MATCH(C40,BG80:BI80),FALSE),IF(C39=5,VLOOKUP($C$38,BL81:BN86,MATCH(C40,BL80:BN80),FALSE),IF(C39=6,VLOOKUP($C$38,BQ81:BS86,MATCH(C40,BQ8:BS80)*0,FALSE))))))))</f>
        <v/>
      </c>
      <c r="Q42" s="55"/>
    </row>
    <row r="43" spans="2:39" s="17" customFormat="1" x14ac:dyDescent="0.25">
      <c r="B43" s="17" t="s">
        <v>17</v>
      </c>
      <c r="C43" s="17" t="str">
        <f>IF(Q20="","",Q20)</f>
        <v/>
      </c>
      <c r="Q43" s="55"/>
    </row>
    <row r="44" spans="2:39" s="17" customFormat="1" ht="18" customHeight="1" x14ac:dyDescent="0.25">
      <c r="B44" s="17" t="s">
        <v>56</v>
      </c>
      <c r="C44" s="17" t="str">
        <f>IF(Q23="","",Q23)</f>
        <v/>
      </c>
      <c r="Q44" s="55"/>
    </row>
    <row r="45" spans="2:39" s="17" customFormat="1" ht="20.100000000000001" customHeight="1" x14ac:dyDescent="0.25">
      <c r="B45" s="28" t="s">
        <v>24</v>
      </c>
      <c r="C45" s="17">
        <f>SUM(C42:C44)</f>
        <v>0</v>
      </c>
      <c r="Q45" s="55"/>
    </row>
    <row r="46" spans="2:39" s="17" customFormat="1" ht="20.100000000000001" customHeight="1" x14ac:dyDescent="0.25">
      <c r="B46" s="28"/>
      <c r="Q46" s="55"/>
    </row>
    <row r="47" spans="2:39" s="17" customFormat="1" ht="20.100000000000001" hidden="1" customHeight="1" x14ac:dyDescent="0.25">
      <c r="B47" s="28"/>
      <c r="Q47" s="55"/>
      <c r="AM47" s="17" t="s">
        <v>79</v>
      </c>
    </row>
    <row r="48" spans="2:39" s="17" customFormat="1" ht="20.100000000000001" hidden="1" customHeight="1" x14ac:dyDescent="0.25">
      <c r="B48" s="17" t="s">
        <v>57</v>
      </c>
      <c r="Q48" s="55"/>
    </row>
    <row r="49" spans="2:80" s="17" customFormat="1" ht="20.100000000000001" hidden="1" customHeight="1" x14ac:dyDescent="0.25">
      <c r="Q49" s="55"/>
    </row>
    <row r="50" spans="2:80" s="17" customFormat="1" ht="20.100000000000001" hidden="1" customHeight="1" x14ac:dyDescent="0.25">
      <c r="Q50" s="55"/>
      <c r="AB50" s="66" t="s">
        <v>21</v>
      </c>
      <c r="AC50" s="67"/>
      <c r="AD50" s="70" t="s">
        <v>5</v>
      </c>
      <c r="AE50" s="70"/>
      <c r="AF50" s="70"/>
      <c r="AG50" s="70"/>
      <c r="AH50" s="70"/>
      <c r="AI50" s="70"/>
      <c r="AJ50" s="70"/>
      <c r="AK50" s="70"/>
    </row>
    <row r="51" spans="2:80" s="17" customFormat="1" ht="20.100000000000001" hidden="1" customHeight="1" x14ac:dyDescent="0.25">
      <c r="B51" s="29" t="s">
        <v>2</v>
      </c>
      <c r="Q51" s="55"/>
      <c r="AB51" s="68"/>
      <c r="AC51" s="69"/>
      <c r="AD51" s="70">
        <v>1</v>
      </c>
      <c r="AE51" s="70"/>
      <c r="AF51" s="70">
        <v>2</v>
      </c>
      <c r="AG51" s="70"/>
      <c r="AH51" s="70">
        <v>3</v>
      </c>
      <c r="AI51" s="70"/>
      <c r="AJ51" s="70">
        <v>4</v>
      </c>
      <c r="AK51" s="70"/>
      <c r="AO51" s="70">
        <v>1</v>
      </c>
      <c r="AP51" s="70"/>
      <c r="AT51" s="83">
        <v>2</v>
      </c>
      <c r="AU51" s="84"/>
      <c r="AX51" s="83">
        <v>3</v>
      </c>
      <c r="AY51" s="84"/>
      <c r="BB51" s="83">
        <v>4</v>
      </c>
      <c r="BC51" s="84"/>
      <c r="BE51" s="30"/>
      <c r="BH51" s="70">
        <v>1</v>
      </c>
      <c r="BI51" s="70"/>
      <c r="BM51" s="83">
        <v>2</v>
      </c>
      <c r="BN51" s="84"/>
      <c r="BQ51" s="83">
        <v>3</v>
      </c>
      <c r="BR51" s="84"/>
      <c r="BU51" s="83">
        <v>4</v>
      </c>
      <c r="BV51" s="84"/>
      <c r="BZ51" s="23" t="s">
        <v>80</v>
      </c>
      <c r="CA51" s="23"/>
      <c r="CB51" s="23" t="str">
        <f>IF(C29="","",IF($C$28=1,VLOOKUP(C27,AN54:AP56,MATCH(C29,AN53:AP53),FALSE),IF($C$28=2,VLOOKUP(C27,AS54:AU56,MATCH(C29,AS53:AU53),FALSE),IF($C$28=3,VLOOKUP(C27,AW54:AY56,MATCH(C29,AW53:AY53),FALSE),IF($C$28=4,VLOOKUP(C27,BA54:BC56,MATCH(C29,BA53:BC53),FALSE))))))</f>
        <v/>
      </c>
    </row>
    <row r="52" spans="2:80" s="17" customFormat="1" ht="20.100000000000001" hidden="1" customHeight="1" x14ac:dyDescent="0.25">
      <c r="B52" s="17" t="s">
        <v>58</v>
      </c>
      <c r="C52" s="17">
        <v>1</v>
      </c>
      <c r="Q52" s="55"/>
      <c r="AB52" s="60" t="s">
        <v>2</v>
      </c>
      <c r="AC52" s="62" t="s">
        <v>3</v>
      </c>
      <c r="AD52" s="64" t="s">
        <v>8</v>
      </c>
      <c r="AE52" s="64"/>
      <c r="AF52" s="64" t="s">
        <v>8</v>
      </c>
      <c r="AG52" s="64"/>
      <c r="AH52" s="64" t="s">
        <v>8</v>
      </c>
      <c r="AI52" s="64"/>
      <c r="AJ52" s="64" t="s">
        <v>8</v>
      </c>
      <c r="AK52" s="64"/>
      <c r="AN52" s="31" t="s">
        <v>3</v>
      </c>
      <c r="AO52" s="64" t="s">
        <v>8</v>
      </c>
      <c r="AP52" s="64"/>
      <c r="AS52" s="31" t="s">
        <v>3</v>
      </c>
      <c r="AT52" s="64" t="s">
        <v>8</v>
      </c>
      <c r="AU52" s="64"/>
      <c r="AW52" s="31" t="s">
        <v>3</v>
      </c>
      <c r="AX52" s="64" t="s">
        <v>8</v>
      </c>
      <c r="AY52" s="64"/>
      <c r="BA52" s="31" t="s">
        <v>3</v>
      </c>
      <c r="BB52" s="64" t="s">
        <v>8</v>
      </c>
      <c r="BC52" s="64"/>
      <c r="BE52" s="30"/>
      <c r="BG52" s="31" t="s">
        <v>3</v>
      </c>
      <c r="BH52" s="64" t="s">
        <v>8</v>
      </c>
      <c r="BI52" s="64"/>
      <c r="BL52" s="31" t="s">
        <v>3</v>
      </c>
      <c r="BM52" s="64" t="s">
        <v>8</v>
      </c>
      <c r="BN52" s="64"/>
      <c r="BP52" s="31" t="s">
        <v>3</v>
      </c>
      <c r="BQ52" s="64" t="s">
        <v>8</v>
      </c>
      <c r="BR52" s="64"/>
      <c r="BT52" s="31" t="s">
        <v>3</v>
      </c>
      <c r="BU52" s="64" t="s">
        <v>8</v>
      </c>
      <c r="BV52" s="64"/>
      <c r="BZ52" s="23" t="s">
        <v>81</v>
      </c>
      <c r="CA52" s="23"/>
      <c r="CB52" s="23" t="str">
        <f>IF(C29="","",IF($C$28=1,VLOOKUP(C27,AN61:AP63,MATCH(C29,AN53:AP60),FALSE),IF($C$28=2,VLOOKUP(C27,AS61:AU63,MATCH(C29,AS60:AU60),FALSE),IF($C$28=3,VLOOKUP(C27,AW61:AY63,MATCH(C29,AW60:AY60),FALSE),IF($C$28=4,VLOOKUP(C27,BA61:BC63,MATCH(C29,BA60:BC60),FALSE))))))</f>
        <v/>
      </c>
    </row>
    <row r="53" spans="2:80" s="17" customFormat="1" ht="20.100000000000001" hidden="1" customHeight="1" x14ac:dyDescent="0.25">
      <c r="B53" s="17" t="s">
        <v>59</v>
      </c>
      <c r="C53" s="17">
        <v>2</v>
      </c>
      <c r="Q53" s="55"/>
      <c r="AB53" s="61"/>
      <c r="AC53" s="63"/>
      <c r="AD53" s="32">
        <v>1</v>
      </c>
      <c r="AE53" s="32">
        <v>2</v>
      </c>
      <c r="AF53" s="32">
        <v>1</v>
      </c>
      <c r="AG53" s="32">
        <v>2</v>
      </c>
      <c r="AH53" s="32">
        <v>1</v>
      </c>
      <c r="AI53" s="32">
        <v>2</v>
      </c>
      <c r="AJ53" s="32">
        <v>1</v>
      </c>
      <c r="AK53" s="32">
        <v>2</v>
      </c>
      <c r="AN53" s="33"/>
      <c r="AO53" s="32">
        <v>1</v>
      </c>
      <c r="AP53" s="32">
        <v>2</v>
      </c>
      <c r="AS53" s="33"/>
      <c r="AT53" s="32">
        <v>1</v>
      </c>
      <c r="AU53" s="32">
        <v>2</v>
      </c>
      <c r="AW53" s="33"/>
      <c r="AX53" s="32">
        <v>1</v>
      </c>
      <c r="AY53" s="32">
        <v>2</v>
      </c>
      <c r="BA53" s="33"/>
      <c r="BB53" s="32">
        <v>1</v>
      </c>
      <c r="BC53" s="32">
        <v>2</v>
      </c>
      <c r="BE53" s="30"/>
      <c r="BG53" s="33"/>
      <c r="BH53" s="32">
        <v>1</v>
      </c>
      <c r="BI53" s="32">
        <v>2</v>
      </c>
      <c r="BL53" s="33"/>
      <c r="BM53" s="32">
        <v>1</v>
      </c>
      <c r="BN53" s="32">
        <v>2</v>
      </c>
      <c r="BP53" s="33"/>
      <c r="BQ53" s="32">
        <v>1</v>
      </c>
      <c r="BR53" s="32">
        <v>2</v>
      </c>
      <c r="BT53" s="33"/>
      <c r="BU53" s="32">
        <v>1</v>
      </c>
      <c r="BV53" s="32">
        <v>2</v>
      </c>
      <c r="BZ53" s="23" t="s">
        <v>82</v>
      </c>
      <c r="CA53" s="23"/>
      <c r="CB53" s="23" t="str">
        <f>IF(C29="","",IF($C$28=1,VLOOKUP(C27,AN68:AP70,MATCH(C29,AN67:AP67),FALSE),IF($C$28=2,VLOOKUP(C27,AS68:AU70,MATCH(C29,AS67:AU67),FALSE),IF($C$28=3,VLOOKUP(C27,AW68:AY70,MATCH(C29,AW67:AY67),FALSE),IF($C$28=4,VLOOKUP(C27,BA68:BC70,MATCH(C29,BA67:BC67),FALSE))))))</f>
        <v/>
      </c>
    </row>
    <row r="54" spans="2:80" s="17" customFormat="1" ht="20.100000000000001" hidden="1" customHeight="1" x14ac:dyDescent="0.25">
      <c r="B54" s="17" t="s">
        <v>60</v>
      </c>
      <c r="C54" s="17">
        <v>2</v>
      </c>
      <c r="Q54" s="55"/>
      <c r="AB54" s="74">
        <v>1</v>
      </c>
      <c r="AC54" s="34">
        <v>1</v>
      </c>
      <c r="AD54" s="35">
        <v>1</v>
      </c>
      <c r="AE54" s="35">
        <v>2</v>
      </c>
      <c r="AF54" s="35">
        <v>2</v>
      </c>
      <c r="AG54" s="35">
        <v>2</v>
      </c>
      <c r="AH54" s="35">
        <v>2</v>
      </c>
      <c r="AI54" s="35">
        <v>3</v>
      </c>
      <c r="AJ54" s="35">
        <v>3</v>
      </c>
      <c r="AK54" s="35">
        <v>3</v>
      </c>
      <c r="AL54" s="36"/>
      <c r="AM54" s="74">
        <v>1</v>
      </c>
      <c r="AN54" s="34">
        <v>1</v>
      </c>
      <c r="AO54" s="35">
        <v>1</v>
      </c>
      <c r="AP54" s="35">
        <v>2</v>
      </c>
      <c r="AR54" s="74">
        <v>1</v>
      </c>
      <c r="AS54" s="34">
        <v>1</v>
      </c>
      <c r="AT54" s="35">
        <v>2</v>
      </c>
      <c r="AU54" s="35">
        <v>2</v>
      </c>
      <c r="AV54" s="74">
        <v>1</v>
      </c>
      <c r="AW54" s="34">
        <v>1</v>
      </c>
      <c r="AX54" s="35">
        <v>2</v>
      </c>
      <c r="AY54" s="35">
        <v>3</v>
      </c>
      <c r="AZ54" s="74">
        <v>1</v>
      </c>
      <c r="BA54" s="34">
        <v>1</v>
      </c>
      <c r="BB54" s="35">
        <v>3</v>
      </c>
      <c r="BC54" s="35">
        <v>3</v>
      </c>
      <c r="BE54" s="30"/>
      <c r="BF54" s="74">
        <v>4</v>
      </c>
      <c r="BG54" s="34">
        <v>1</v>
      </c>
      <c r="BH54" s="35">
        <v>4</v>
      </c>
      <c r="BI54" s="35">
        <v>4</v>
      </c>
      <c r="BK54" s="74">
        <v>4</v>
      </c>
      <c r="BL54" s="34">
        <v>1</v>
      </c>
      <c r="BM54" s="35">
        <v>4</v>
      </c>
      <c r="BN54" s="35">
        <v>4</v>
      </c>
      <c r="BO54" s="74">
        <v>4</v>
      </c>
      <c r="BP54" s="34">
        <v>1</v>
      </c>
      <c r="BQ54" s="35">
        <v>4</v>
      </c>
      <c r="BR54" s="35">
        <v>5</v>
      </c>
      <c r="BS54" s="74">
        <v>4</v>
      </c>
      <c r="BT54" s="34">
        <v>1</v>
      </c>
      <c r="BU54" s="35">
        <v>5</v>
      </c>
      <c r="BV54" s="35">
        <v>5</v>
      </c>
      <c r="BZ54" s="23" t="s">
        <v>83</v>
      </c>
      <c r="CA54" s="23"/>
      <c r="CB54" s="23" t="str">
        <f>IF(C29="","",IF($C$28=1,VLOOKUP(C27,BG54:BI56,MATCH(C29,BG53:BI53),FALSE),IF($C$28=2,VLOOKUP(C27,BL54:BN56,MATCH(C29,BL53:BN53),FALSE),IF($C$28=3,VLOOKUP(C27,BP54:BR56,MATCH(C29,BP53:BR53),FALSE),IF($C$28=4,VLOOKUP(C27,BT54:BV56,MATCH(C29,BT53:BV53),FALSE))))))</f>
        <v/>
      </c>
    </row>
    <row r="55" spans="2:80" s="17" customFormat="1" ht="20.100000000000001" hidden="1" customHeight="1" x14ac:dyDescent="0.25">
      <c r="B55" s="17" t="s">
        <v>61</v>
      </c>
      <c r="C55" s="17">
        <v>3</v>
      </c>
      <c r="Q55" s="55"/>
      <c r="AB55" s="75"/>
      <c r="AC55" s="34">
        <v>2</v>
      </c>
      <c r="AD55" s="35">
        <v>2</v>
      </c>
      <c r="AE55" s="35">
        <v>2</v>
      </c>
      <c r="AF55" s="35">
        <v>2</v>
      </c>
      <c r="AG55" s="35">
        <v>2</v>
      </c>
      <c r="AH55" s="35">
        <v>3</v>
      </c>
      <c r="AI55" s="35">
        <v>3</v>
      </c>
      <c r="AJ55" s="35">
        <v>3</v>
      </c>
      <c r="AK55" s="35">
        <v>3</v>
      </c>
      <c r="AL55" s="36"/>
      <c r="AM55" s="75"/>
      <c r="AN55" s="34">
        <v>2</v>
      </c>
      <c r="AO55" s="35">
        <v>2</v>
      </c>
      <c r="AP55" s="35">
        <v>2</v>
      </c>
      <c r="AR55" s="75"/>
      <c r="AS55" s="34">
        <v>2</v>
      </c>
      <c r="AT55" s="35">
        <v>2</v>
      </c>
      <c r="AU55" s="35">
        <v>2</v>
      </c>
      <c r="AV55" s="75"/>
      <c r="AW55" s="34">
        <v>2</v>
      </c>
      <c r="AX55" s="35">
        <v>3</v>
      </c>
      <c r="AY55" s="35">
        <v>3</v>
      </c>
      <c r="AZ55" s="75"/>
      <c r="BA55" s="34">
        <v>2</v>
      </c>
      <c r="BB55" s="35">
        <v>3</v>
      </c>
      <c r="BC55" s="35">
        <v>3</v>
      </c>
      <c r="BE55" s="30"/>
      <c r="BF55" s="75"/>
      <c r="BG55" s="34">
        <v>2</v>
      </c>
      <c r="BH55" s="35">
        <v>4</v>
      </c>
      <c r="BI55" s="35">
        <v>4</v>
      </c>
      <c r="BK55" s="75"/>
      <c r="BL55" s="34">
        <v>2</v>
      </c>
      <c r="BM55" s="35">
        <v>4</v>
      </c>
      <c r="BN55" s="35">
        <v>4</v>
      </c>
      <c r="BO55" s="75"/>
      <c r="BP55" s="34">
        <v>2</v>
      </c>
      <c r="BQ55" s="35">
        <v>4</v>
      </c>
      <c r="BR55" s="35">
        <v>5</v>
      </c>
      <c r="BS55" s="75"/>
      <c r="BT55" s="34">
        <v>2</v>
      </c>
      <c r="BU55" s="35">
        <v>5</v>
      </c>
      <c r="BV55" s="35">
        <v>5</v>
      </c>
      <c r="BZ55" s="23" t="s">
        <v>84</v>
      </c>
      <c r="CA55" s="23"/>
      <c r="CB55" s="23" t="str">
        <f>IF(C29="","",IF($C$28=1,VLOOKUP(C27,BG61:BI63,MATCH(C29,BG60:BI60),FALSE),IF($C$28=2,VLOOKUP(C27,BL61:BN63,MATCH(C29,BL60:BN60),FALSE),IF($C$28=3,VLOOKUP(C27,BP61:BR63,MATCH(C29,BP60:BR60),FALSE),IF($C$28=4,VLOOKUP(C27,BT61:BV63,MATCH(C29,BT60:BV60),FALSE))))))</f>
        <v/>
      </c>
    </row>
    <row r="56" spans="2:80" s="17" customFormat="1" ht="20.100000000000001" hidden="1" customHeight="1" x14ac:dyDescent="0.25">
      <c r="B56" s="17" t="s">
        <v>62</v>
      </c>
      <c r="C56" s="17">
        <v>4</v>
      </c>
      <c r="Q56" s="55"/>
      <c r="AB56" s="76"/>
      <c r="AC56" s="34">
        <v>3</v>
      </c>
      <c r="AD56" s="35">
        <v>2</v>
      </c>
      <c r="AE56" s="35">
        <v>3</v>
      </c>
      <c r="AF56" s="35">
        <v>3</v>
      </c>
      <c r="AG56" s="35">
        <v>3</v>
      </c>
      <c r="AH56" s="35">
        <v>3</v>
      </c>
      <c r="AI56" s="35">
        <v>3</v>
      </c>
      <c r="AJ56" s="35">
        <v>4</v>
      </c>
      <c r="AK56" s="35">
        <v>4</v>
      </c>
      <c r="AL56" s="36"/>
      <c r="AM56" s="76"/>
      <c r="AN56" s="34">
        <v>3</v>
      </c>
      <c r="AO56" s="35">
        <v>2</v>
      </c>
      <c r="AP56" s="35">
        <v>3</v>
      </c>
      <c r="AR56" s="76"/>
      <c r="AS56" s="34">
        <v>3</v>
      </c>
      <c r="AT56" s="35">
        <v>3</v>
      </c>
      <c r="AU56" s="35">
        <v>3</v>
      </c>
      <c r="AV56" s="76"/>
      <c r="AW56" s="34">
        <v>3</v>
      </c>
      <c r="AX56" s="35">
        <v>3</v>
      </c>
      <c r="AY56" s="35">
        <v>3</v>
      </c>
      <c r="AZ56" s="76"/>
      <c r="BA56" s="34">
        <v>3</v>
      </c>
      <c r="BB56" s="35">
        <v>4</v>
      </c>
      <c r="BC56" s="35">
        <v>4</v>
      </c>
      <c r="BE56" s="30"/>
      <c r="BF56" s="76"/>
      <c r="BG56" s="34">
        <v>3</v>
      </c>
      <c r="BH56" s="35">
        <v>4</v>
      </c>
      <c r="BI56" s="35">
        <v>4</v>
      </c>
      <c r="BK56" s="76"/>
      <c r="BL56" s="34">
        <v>3</v>
      </c>
      <c r="BM56" s="35">
        <v>4</v>
      </c>
      <c r="BN56" s="35">
        <v>5</v>
      </c>
      <c r="BO56" s="76"/>
      <c r="BP56" s="34">
        <v>3</v>
      </c>
      <c r="BQ56" s="35">
        <v>5</v>
      </c>
      <c r="BR56" s="35">
        <v>5</v>
      </c>
      <c r="BS56" s="76"/>
      <c r="BT56" s="34">
        <v>3</v>
      </c>
      <c r="BU56" s="35">
        <v>6</v>
      </c>
      <c r="BV56" s="35">
        <v>6</v>
      </c>
      <c r="BZ56" s="23" t="s">
        <v>85</v>
      </c>
      <c r="CA56" s="23"/>
      <c r="CB56" s="23" t="str">
        <f>IF(C29="","",IF($C$28=1,VLOOKUP(C27,BG68:BI70,MATCH(C29,BG67:BI67),FALSE),IF($C$28=2,VLOOKUP(C27,BL68:BN70,MATCH(C29,BL67:BN67),FALSE),IF($C$28=3,VLOOKUP(C27,BP68:BR70,MATCH(C29,BP67:BR67),FALSE),IF($C$28=4,VLOOKUP(C27,BT68:BV70,MATCH(C29,BT67:BV67),FALSE))))))</f>
        <v/>
      </c>
    </row>
    <row r="57" spans="2:80" s="17" customFormat="1" ht="20.100000000000001" hidden="1" customHeight="1" x14ac:dyDescent="0.25">
      <c r="Q57" s="55"/>
      <c r="AB57" s="74">
        <v>2</v>
      </c>
      <c r="AC57" s="34">
        <v>1</v>
      </c>
      <c r="AD57" s="35">
        <v>2</v>
      </c>
      <c r="AE57" s="35">
        <v>3</v>
      </c>
      <c r="AF57" s="35">
        <v>3</v>
      </c>
      <c r="AG57" s="35">
        <v>3</v>
      </c>
      <c r="AH57" s="35">
        <v>3</v>
      </c>
      <c r="AI57" s="35">
        <v>4</v>
      </c>
      <c r="AJ57" s="35">
        <v>4</v>
      </c>
      <c r="AK57" s="35">
        <v>4</v>
      </c>
      <c r="AL57" s="36"/>
      <c r="BE57" s="30"/>
    </row>
    <row r="58" spans="2:80" s="17" customFormat="1" ht="20.100000000000001" hidden="1" customHeight="1" x14ac:dyDescent="0.25">
      <c r="Q58" s="55"/>
      <c r="AB58" s="75"/>
      <c r="AC58" s="34">
        <v>2</v>
      </c>
      <c r="AD58" s="35">
        <v>3</v>
      </c>
      <c r="AE58" s="35">
        <v>3</v>
      </c>
      <c r="AF58" s="35">
        <v>3</v>
      </c>
      <c r="AG58" s="35">
        <v>3</v>
      </c>
      <c r="AH58" s="35">
        <v>3</v>
      </c>
      <c r="AI58" s="35">
        <v>4</v>
      </c>
      <c r="AJ58" s="35">
        <v>4</v>
      </c>
      <c r="AK58" s="35">
        <v>4</v>
      </c>
      <c r="AL58" s="36"/>
      <c r="AO58" s="70">
        <v>1</v>
      </c>
      <c r="AP58" s="70"/>
      <c r="AT58" s="83">
        <v>2</v>
      </c>
      <c r="AU58" s="84"/>
      <c r="AX58" s="83">
        <v>3</v>
      </c>
      <c r="AY58" s="84"/>
      <c r="BB58" s="83">
        <v>4</v>
      </c>
      <c r="BC58" s="84"/>
      <c r="BE58" s="30"/>
      <c r="BH58" s="70">
        <v>1</v>
      </c>
      <c r="BI58" s="70"/>
      <c r="BM58" s="83">
        <v>2</v>
      </c>
      <c r="BN58" s="84"/>
      <c r="BQ58" s="83">
        <v>3</v>
      </c>
      <c r="BR58" s="84"/>
      <c r="BU58" s="83">
        <v>4</v>
      </c>
      <c r="BV58" s="84"/>
    </row>
    <row r="59" spans="2:80" s="17" customFormat="1" ht="20.100000000000001" hidden="1" customHeight="1" x14ac:dyDescent="0.25">
      <c r="B59" s="29" t="s">
        <v>3</v>
      </c>
      <c r="Q59" s="55"/>
      <c r="AB59" s="76"/>
      <c r="AC59" s="34">
        <v>3</v>
      </c>
      <c r="AD59" s="35">
        <v>3</v>
      </c>
      <c r="AE59" s="35">
        <v>4</v>
      </c>
      <c r="AF59" s="35">
        <v>4</v>
      </c>
      <c r="AG59" s="35">
        <v>4</v>
      </c>
      <c r="AH59" s="35">
        <v>4</v>
      </c>
      <c r="AI59" s="35">
        <v>4</v>
      </c>
      <c r="AJ59" s="35">
        <v>5</v>
      </c>
      <c r="AK59" s="35">
        <v>5</v>
      </c>
      <c r="AL59" s="36"/>
      <c r="AN59" s="31" t="s">
        <v>3</v>
      </c>
      <c r="AO59" s="64" t="s">
        <v>8</v>
      </c>
      <c r="AP59" s="64"/>
      <c r="AS59" s="31" t="s">
        <v>3</v>
      </c>
      <c r="AT59" s="64" t="s">
        <v>8</v>
      </c>
      <c r="AU59" s="64"/>
      <c r="AW59" s="31" t="s">
        <v>3</v>
      </c>
      <c r="AX59" s="64" t="s">
        <v>8</v>
      </c>
      <c r="AY59" s="64"/>
      <c r="BA59" s="31" t="s">
        <v>3</v>
      </c>
      <c r="BB59" s="64" t="s">
        <v>8</v>
      </c>
      <c r="BC59" s="64"/>
      <c r="BE59" s="30"/>
      <c r="BG59" s="31" t="s">
        <v>3</v>
      </c>
      <c r="BH59" s="64" t="s">
        <v>8</v>
      </c>
      <c r="BI59" s="64"/>
      <c r="BL59" s="31" t="s">
        <v>3</v>
      </c>
      <c r="BM59" s="64" t="s">
        <v>8</v>
      </c>
      <c r="BN59" s="64"/>
      <c r="BP59" s="31" t="s">
        <v>3</v>
      </c>
      <c r="BQ59" s="64" t="s">
        <v>8</v>
      </c>
      <c r="BR59" s="64"/>
      <c r="BT59" s="31" t="s">
        <v>3</v>
      </c>
      <c r="BU59" s="64" t="s">
        <v>8</v>
      </c>
      <c r="BV59" s="64"/>
    </row>
    <row r="60" spans="2:80" s="17" customFormat="1" ht="20.100000000000001" hidden="1" customHeight="1" x14ac:dyDescent="0.25">
      <c r="B60" s="17" t="s">
        <v>63</v>
      </c>
      <c r="C60" s="17">
        <v>1</v>
      </c>
      <c r="Q60" s="55"/>
      <c r="AB60" s="74">
        <v>3</v>
      </c>
      <c r="AC60" s="34">
        <v>1</v>
      </c>
      <c r="AD60" s="35">
        <v>3</v>
      </c>
      <c r="AE60" s="35">
        <v>3</v>
      </c>
      <c r="AF60" s="35">
        <v>4</v>
      </c>
      <c r="AG60" s="35">
        <v>4</v>
      </c>
      <c r="AH60" s="35">
        <v>4</v>
      </c>
      <c r="AI60" s="35">
        <v>4</v>
      </c>
      <c r="AJ60" s="35">
        <v>5</v>
      </c>
      <c r="AK60" s="35">
        <v>5</v>
      </c>
      <c r="AL60" s="36"/>
      <c r="AN60" s="33"/>
      <c r="AO60" s="32">
        <v>1</v>
      </c>
      <c r="AP60" s="32">
        <v>2</v>
      </c>
      <c r="AS60" s="33"/>
      <c r="AT60" s="32">
        <v>1</v>
      </c>
      <c r="AU60" s="32">
        <v>2</v>
      </c>
      <c r="AW60" s="33"/>
      <c r="AX60" s="32">
        <v>1</v>
      </c>
      <c r="AY60" s="32">
        <v>2</v>
      </c>
      <c r="BA60" s="33"/>
      <c r="BB60" s="32">
        <v>1</v>
      </c>
      <c r="BC60" s="32">
        <v>2</v>
      </c>
      <c r="BE60" s="30"/>
      <c r="BG60" s="33"/>
      <c r="BH60" s="32">
        <v>1</v>
      </c>
      <c r="BI60" s="32">
        <v>2</v>
      </c>
      <c r="BL60" s="33"/>
      <c r="BM60" s="32">
        <v>1</v>
      </c>
      <c r="BN60" s="32">
        <v>2</v>
      </c>
      <c r="BP60" s="33"/>
      <c r="BQ60" s="32">
        <v>1</v>
      </c>
      <c r="BR60" s="32">
        <v>2</v>
      </c>
      <c r="BT60" s="33"/>
      <c r="BU60" s="32">
        <v>1</v>
      </c>
      <c r="BV60" s="32">
        <v>2</v>
      </c>
    </row>
    <row r="61" spans="2:80" s="17" customFormat="1" ht="20.100000000000001" hidden="1" customHeight="1" x14ac:dyDescent="0.25">
      <c r="B61" s="17" t="s">
        <v>64</v>
      </c>
      <c r="C61" s="17">
        <v>2</v>
      </c>
      <c r="Q61" s="55"/>
      <c r="AB61" s="75"/>
      <c r="AC61" s="34">
        <v>2</v>
      </c>
      <c r="AD61" s="35">
        <v>3</v>
      </c>
      <c r="AE61" s="35">
        <v>4</v>
      </c>
      <c r="AF61" s="35">
        <v>4</v>
      </c>
      <c r="AG61" s="35">
        <v>4</v>
      </c>
      <c r="AH61" s="35">
        <v>4</v>
      </c>
      <c r="AI61" s="35">
        <v>4</v>
      </c>
      <c r="AJ61" s="35">
        <v>5</v>
      </c>
      <c r="AK61" s="35">
        <v>5</v>
      </c>
      <c r="AL61" s="36"/>
      <c r="AM61" s="74">
        <v>2</v>
      </c>
      <c r="AN61" s="34">
        <v>1</v>
      </c>
      <c r="AO61" s="35">
        <v>2</v>
      </c>
      <c r="AP61" s="35">
        <v>3</v>
      </c>
      <c r="AR61" s="74">
        <v>2</v>
      </c>
      <c r="AS61" s="34">
        <v>1</v>
      </c>
      <c r="AT61" s="35">
        <v>3</v>
      </c>
      <c r="AU61" s="35">
        <v>3</v>
      </c>
      <c r="AV61" s="74">
        <v>2</v>
      </c>
      <c r="AW61" s="34">
        <v>1</v>
      </c>
      <c r="AX61" s="35">
        <v>3</v>
      </c>
      <c r="AY61" s="35">
        <v>4</v>
      </c>
      <c r="AZ61" s="74">
        <v>2</v>
      </c>
      <c r="BA61" s="34">
        <v>1</v>
      </c>
      <c r="BB61" s="35">
        <v>4</v>
      </c>
      <c r="BC61" s="35">
        <v>4</v>
      </c>
      <c r="BE61" s="30"/>
      <c r="BF61" s="74">
        <v>5</v>
      </c>
      <c r="BG61" s="34">
        <v>1</v>
      </c>
      <c r="BH61" s="35">
        <v>5</v>
      </c>
      <c r="BI61" s="35">
        <v>5</v>
      </c>
      <c r="BK61" s="74">
        <v>5</v>
      </c>
      <c r="BL61" s="34">
        <v>1</v>
      </c>
      <c r="BM61" s="35">
        <v>5</v>
      </c>
      <c r="BN61" s="35">
        <v>5</v>
      </c>
      <c r="BO61" s="74">
        <v>5</v>
      </c>
      <c r="BP61" s="34">
        <v>1</v>
      </c>
      <c r="BQ61" s="35">
        <v>5</v>
      </c>
      <c r="BR61" s="35">
        <v>6</v>
      </c>
      <c r="BS61" s="74">
        <v>5</v>
      </c>
      <c r="BT61" s="34">
        <v>1</v>
      </c>
      <c r="BU61" s="35">
        <v>6</v>
      </c>
      <c r="BV61" s="35">
        <v>7</v>
      </c>
    </row>
    <row r="62" spans="2:80" s="17" customFormat="1" ht="20.100000000000001" hidden="1" customHeight="1" x14ac:dyDescent="0.25">
      <c r="B62" s="17" t="s">
        <v>65</v>
      </c>
      <c r="C62" s="17">
        <v>2</v>
      </c>
      <c r="Q62" s="55"/>
      <c r="AB62" s="76"/>
      <c r="AC62" s="34">
        <v>3</v>
      </c>
      <c r="AD62" s="35">
        <v>4</v>
      </c>
      <c r="AE62" s="35">
        <v>4</v>
      </c>
      <c r="AF62" s="35">
        <v>4</v>
      </c>
      <c r="AG62" s="35">
        <v>4</v>
      </c>
      <c r="AH62" s="35">
        <v>4</v>
      </c>
      <c r="AI62" s="35">
        <v>5</v>
      </c>
      <c r="AJ62" s="35">
        <v>5</v>
      </c>
      <c r="AK62" s="35">
        <v>5</v>
      </c>
      <c r="AL62" s="36"/>
      <c r="AM62" s="75"/>
      <c r="AN62" s="34">
        <v>2</v>
      </c>
      <c r="AO62" s="35">
        <v>3</v>
      </c>
      <c r="AP62" s="35">
        <v>3</v>
      </c>
      <c r="AR62" s="75"/>
      <c r="AS62" s="34">
        <v>2</v>
      </c>
      <c r="AT62" s="35">
        <v>3</v>
      </c>
      <c r="AU62" s="35">
        <v>3</v>
      </c>
      <c r="AV62" s="75"/>
      <c r="AW62" s="34">
        <v>2</v>
      </c>
      <c r="AX62" s="35">
        <v>3</v>
      </c>
      <c r="AY62" s="35">
        <v>4</v>
      </c>
      <c r="AZ62" s="75"/>
      <c r="BA62" s="34">
        <v>2</v>
      </c>
      <c r="BB62" s="35">
        <v>4</v>
      </c>
      <c r="BC62" s="35">
        <v>4</v>
      </c>
      <c r="BE62" s="30"/>
      <c r="BF62" s="75"/>
      <c r="BG62" s="34">
        <v>2</v>
      </c>
      <c r="BH62" s="35">
        <v>5</v>
      </c>
      <c r="BI62" s="35">
        <v>6</v>
      </c>
      <c r="BK62" s="75"/>
      <c r="BL62" s="34">
        <v>2</v>
      </c>
      <c r="BM62" s="35">
        <v>6</v>
      </c>
      <c r="BN62" s="35">
        <v>6</v>
      </c>
      <c r="BO62" s="75"/>
      <c r="BP62" s="34">
        <v>2</v>
      </c>
      <c r="BQ62" s="35">
        <v>6</v>
      </c>
      <c r="BR62" s="35">
        <v>7</v>
      </c>
      <c r="BS62" s="75"/>
      <c r="BT62" s="34">
        <v>2</v>
      </c>
      <c r="BU62" s="35">
        <v>7</v>
      </c>
      <c r="BV62" s="35">
        <v>7</v>
      </c>
    </row>
    <row r="63" spans="2:80" s="17" customFormat="1" ht="20.100000000000001" hidden="1" customHeight="1" x14ac:dyDescent="0.25">
      <c r="Q63" s="55"/>
      <c r="AB63" s="74">
        <v>4</v>
      </c>
      <c r="AC63" s="34">
        <v>1</v>
      </c>
      <c r="AD63" s="35">
        <v>4</v>
      </c>
      <c r="AE63" s="35">
        <v>4</v>
      </c>
      <c r="AF63" s="35">
        <v>4</v>
      </c>
      <c r="AG63" s="35">
        <v>4</v>
      </c>
      <c r="AH63" s="35">
        <v>4</v>
      </c>
      <c r="AI63" s="35">
        <v>5</v>
      </c>
      <c r="AJ63" s="35">
        <v>5</v>
      </c>
      <c r="AK63" s="35">
        <v>5</v>
      </c>
      <c r="AL63" s="36"/>
      <c r="AM63" s="76"/>
      <c r="AN63" s="34">
        <v>3</v>
      </c>
      <c r="AO63" s="35">
        <v>3</v>
      </c>
      <c r="AP63" s="35">
        <v>4</v>
      </c>
      <c r="AR63" s="76"/>
      <c r="AS63" s="34">
        <v>3</v>
      </c>
      <c r="AT63" s="35">
        <v>4</v>
      </c>
      <c r="AU63" s="35">
        <v>4</v>
      </c>
      <c r="AV63" s="76"/>
      <c r="AW63" s="34">
        <v>3</v>
      </c>
      <c r="AX63" s="35">
        <v>4</v>
      </c>
      <c r="AY63" s="35">
        <v>4</v>
      </c>
      <c r="AZ63" s="76"/>
      <c r="BA63" s="34">
        <v>3</v>
      </c>
      <c r="BB63" s="35">
        <v>5</v>
      </c>
      <c r="BC63" s="35">
        <v>5</v>
      </c>
      <c r="BE63" s="30"/>
      <c r="BF63" s="76"/>
      <c r="BG63" s="34">
        <v>3</v>
      </c>
      <c r="BH63" s="35">
        <v>6</v>
      </c>
      <c r="BI63" s="35">
        <v>6</v>
      </c>
      <c r="BK63" s="76"/>
      <c r="BL63" s="34">
        <v>3</v>
      </c>
      <c r="BM63" s="35">
        <v>6</v>
      </c>
      <c r="BN63" s="35">
        <v>7</v>
      </c>
      <c r="BO63" s="76"/>
      <c r="BP63" s="34">
        <v>3</v>
      </c>
      <c r="BQ63" s="35">
        <v>7</v>
      </c>
      <c r="BR63" s="35">
        <v>7</v>
      </c>
      <c r="BS63" s="76"/>
      <c r="BT63" s="34">
        <v>3</v>
      </c>
      <c r="BU63" s="35">
        <v>7</v>
      </c>
      <c r="BV63" s="35">
        <v>8</v>
      </c>
    </row>
    <row r="64" spans="2:80" s="17" customFormat="1" ht="20.100000000000001" hidden="1" customHeight="1" x14ac:dyDescent="0.25">
      <c r="B64" s="29" t="s">
        <v>5</v>
      </c>
      <c r="Q64" s="55"/>
      <c r="AB64" s="75"/>
      <c r="AC64" s="34">
        <v>2</v>
      </c>
      <c r="AD64" s="35">
        <v>4</v>
      </c>
      <c r="AE64" s="35">
        <v>4</v>
      </c>
      <c r="AF64" s="35">
        <v>4</v>
      </c>
      <c r="AG64" s="35">
        <v>4</v>
      </c>
      <c r="AH64" s="35">
        <v>4</v>
      </c>
      <c r="AI64" s="35">
        <v>5</v>
      </c>
      <c r="AJ64" s="35">
        <v>5</v>
      </c>
      <c r="AK64" s="35">
        <v>5</v>
      </c>
      <c r="AL64" s="36"/>
      <c r="BE64" s="30"/>
    </row>
    <row r="65" spans="2:74" s="17" customFormat="1" ht="20.100000000000001" hidden="1" customHeight="1" x14ac:dyDescent="0.25">
      <c r="B65" s="17" t="s">
        <v>29</v>
      </c>
      <c r="C65" s="17">
        <v>1</v>
      </c>
      <c r="Q65" s="55"/>
      <c r="AB65" s="76"/>
      <c r="AC65" s="34">
        <v>3</v>
      </c>
      <c r="AD65" s="35">
        <v>4</v>
      </c>
      <c r="AE65" s="35">
        <v>4</v>
      </c>
      <c r="AF65" s="35">
        <v>4</v>
      </c>
      <c r="AG65" s="35">
        <v>5</v>
      </c>
      <c r="AH65" s="35">
        <v>5</v>
      </c>
      <c r="AI65" s="35">
        <v>5</v>
      </c>
      <c r="AJ65" s="35">
        <v>6</v>
      </c>
      <c r="AK65" s="35">
        <v>6</v>
      </c>
      <c r="AL65" s="36"/>
      <c r="AO65" s="70">
        <v>1</v>
      </c>
      <c r="AP65" s="70"/>
      <c r="AT65" s="83">
        <v>2</v>
      </c>
      <c r="AU65" s="84"/>
      <c r="AX65" s="83">
        <v>3</v>
      </c>
      <c r="AY65" s="84"/>
      <c r="BB65" s="83">
        <v>4</v>
      </c>
      <c r="BC65" s="84"/>
      <c r="BE65" s="30"/>
      <c r="BH65" s="70">
        <v>1</v>
      </c>
      <c r="BI65" s="70"/>
      <c r="BM65" s="83">
        <v>2</v>
      </c>
      <c r="BN65" s="84"/>
      <c r="BQ65" s="83">
        <v>3</v>
      </c>
      <c r="BR65" s="84"/>
      <c r="BU65" s="83">
        <v>4</v>
      </c>
      <c r="BV65" s="84"/>
    </row>
    <row r="66" spans="2:74" s="17" customFormat="1" ht="20.100000000000001" hidden="1" customHeight="1" x14ac:dyDescent="0.25">
      <c r="B66" s="17" t="s">
        <v>66</v>
      </c>
      <c r="C66" s="17">
        <v>2</v>
      </c>
      <c r="Q66" s="55"/>
      <c r="AB66" s="74">
        <v>5</v>
      </c>
      <c r="AC66" s="34">
        <v>1</v>
      </c>
      <c r="AD66" s="35">
        <v>5</v>
      </c>
      <c r="AE66" s="35">
        <v>5</v>
      </c>
      <c r="AF66" s="35">
        <v>5</v>
      </c>
      <c r="AG66" s="35">
        <v>5</v>
      </c>
      <c r="AH66" s="35">
        <v>5</v>
      </c>
      <c r="AI66" s="35">
        <v>6</v>
      </c>
      <c r="AJ66" s="35">
        <v>6</v>
      </c>
      <c r="AK66" s="35">
        <v>7</v>
      </c>
      <c r="AL66" s="36"/>
      <c r="AN66" s="31" t="s">
        <v>3</v>
      </c>
      <c r="AO66" s="64" t="s">
        <v>8</v>
      </c>
      <c r="AP66" s="64"/>
      <c r="AS66" s="31" t="s">
        <v>3</v>
      </c>
      <c r="AT66" s="64" t="s">
        <v>8</v>
      </c>
      <c r="AU66" s="64"/>
      <c r="AW66" s="31" t="s">
        <v>3</v>
      </c>
      <c r="AX66" s="64" t="s">
        <v>8</v>
      </c>
      <c r="AY66" s="64"/>
      <c r="BA66" s="31" t="s">
        <v>3</v>
      </c>
      <c r="BB66" s="64" t="s">
        <v>8</v>
      </c>
      <c r="BC66" s="64"/>
      <c r="BE66" s="30"/>
      <c r="BG66" s="31" t="s">
        <v>3</v>
      </c>
      <c r="BH66" s="64" t="s">
        <v>8</v>
      </c>
      <c r="BI66" s="64"/>
      <c r="BL66" s="31" t="s">
        <v>3</v>
      </c>
      <c r="BM66" s="64" t="s">
        <v>8</v>
      </c>
      <c r="BN66" s="64"/>
      <c r="BP66" s="31" t="s">
        <v>3</v>
      </c>
      <c r="BQ66" s="64" t="s">
        <v>8</v>
      </c>
      <c r="BR66" s="64"/>
      <c r="BT66" s="31" t="s">
        <v>3</v>
      </c>
      <c r="BU66" s="64" t="s">
        <v>8</v>
      </c>
      <c r="BV66" s="64"/>
    </row>
    <row r="67" spans="2:74" s="17" customFormat="1" ht="20.100000000000001" hidden="1" customHeight="1" x14ac:dyDescent="0.25">
      <c r="B67" s="17" t="s">
        <v>67</v>
      </c>
      <c r="C67" s="17">
        <v>2</v>
      </c>
      <c r="Q67" s="55"/>
      <c r="AB67" s="75"/>
      <c r="AC67" s="34">
        <v>2</v>
      </c>
      <c r="AD67" s="35">
        <v>5</v>
      </c>
      <c r="AE67" s="35">
        <v>6</v>
      </c>
      <c r="AF67" s="35">
        <v>6</v>
      </c>
      <c r="AG67" s="35">
        <v>6</v>
      </c>
      <c r="AH67" s="35">
        <v>6</v>
      </c>
      <c r="AI67" s="35">
        <v>7</v>
      </c>
      <c r="AJ67" s="35">
        <v>7</v>
      </c>
      <c r="AK67" s="35">
        <v>7</v>
      </c>
      <c r="AL67" s="36"/>
      <c r="AN67" s="33"/>
      <c r="AO67" s="32">
        <v>1</v>
      </c>
      <c r="AP67" s="32">
        <v>2</v>
      </c>
      <c r="AS67" s="33"/>
      <c r="AT67" s="32">
        <v>1</v>
      </c>
      <c r="AU67" s="32">
        <v>2</v>
      </c>
      <c r="AW67" s="33"/>
      <c r="AX67" s="32">
        <v>1</v>
      </c>
      <c r="AY67" s="32">
        <v>2</v>
      </c>
      <c r="BA67" s="33"/>
      <c r="BB67" s="32">
        <v>1</v>
      </c>
      <c r="BC67" s="32">
        <v>2</v>
      </c>
      <c r="BE67" s="30"/>
      <c r="BG67" s="33"/>
      <c r="BH67" s="32">
        <v>1</v>
      </c>
      <c r="BI67" s="32">
        <v>2</v>
      </c>
      <c r="BL67" s="33"/>
      <c r="BM67" s="32">
        <v>1</v>
      </c>
      <c r="BN67" s="32">
        <v>2</v>
      </c>
      <c r="BP67" s="33"/>
      <c r="BQ67" s="32">
        <v>1</v>
      </c>
      <c r="BR67" s="32">
        <v>2</v>
      </c>
      <c r="BT67" s="33"/>
      <c r="BU67" s="32">
        <v>1</v>
      </c>
      <c r="BV67" s="32">
        <v>2</v>
      </c>
    </row>
    <row r="68" spans="2:74" s="17" customFormat="1" ht="20.100000000000001" hidden="1" customHeight="1" x14ac:dyDescent="0.25">
      <c r="B68" s="17" t="s">
        <v>68</v>
      </c>
      <c r="C68" s="17">
        <v>3</v>
      </c>
      <c r="Q68" s="55"/>
      <c r="AB68" s="76"/>
      <c r="AC68" s="34">
        <v>3</v>
      </c>
      <c r="AD68" s="35">
        <v>6</v>
      </c>
      <c r="AE68" s="35">
        <v>6</v>
      </c>
      <c r="AF68" s="35">
        <v>6</v>
      </c>
      <c r="AG68" s="35">
        <v>7</v>
      </c>
      <c r="AH68" s="35">
        <v>7</v>
      </c>
      <c r="AI68" s="35">
        <v>7</v>
      </c>
      <c r="AJ68" s="35">
        <v>7</v>
      </c>
      <c r="AK68" s="35">
        <v>8</v>
      </c>
      <c r="AL68" s="36"/>
      <c r="AM68" s="74">
        <v>3</v>
      </c>
      <c r="AN68" s="34">
        <v>1</v>
      </c>
      <c r="AO68" s="35">
        <v>3</v>
      </c>
      <c r="AP68" s="35">
        <v>3</v>
      </c>
      <c r="AR68" s="74">
        <v>3</v>
      </c>
      <c r="AS68" s="34">
        <v>1</v>
      </c>
      <c r="AT68" s="35">
        <v>4</v>
      </c>
      <c r="AU68" s="35">
        <v>4</v>
      </c>
      <c r="AV68" s="74">
        <v>3</v>
      </c>
      <c r="AW68" s="34">
        <v>1</v>
      </c>
      <c r="AX68" s="35">
        <v>4</v>
      </c>
      <c r="AY68" s="35">
        <v>4</v>
      </c>
      <c r="AZ68" s="74">
        <v>3</v>
      </c>
      <c r="BA68" s="34">
        <v>1</v>
      </c>
      <c r="BB68" s="35">
        <v>5</v>
      </c>
      <c r="BC68" s="35">
        <v>5</v>
      </c>
      <c r="BE68" s="30"/>
      <c r="BF68" s="74">
        <v>6</v>
      </c>
      <c r="BG68" s="34">
        <v>1</v>
      </c>
      <c r="BH68" s="35">
        <v>7</v>
      </c>
      <c r="BI68" s="35">
        <v>7</v>
      </c>
      <c r="BK68" s="74">
        <v>6</v>
      </c>
      <c r="BL68" s="34">
        <v>1</v>
      </c>
      <c r="BM68" s="35">
        <v>7</v>
      </c>
      <c r="BN68" s="35">
        <v>7</v>
      </c>
      <c r="BO68" s="74">
        <v>6</v>
      </c>
      <c r="BP68" s="34">
        <v>1</v>
      </c>
      <c r="BQ68" s="35">
        <v>7</v>
      </c>
      <c r="BR68" s="35">
        <v>8</v>
      </c>
      <c r="BS68" s="74">
        <v>6</v>
      </c>
      <c r="BT68" s="34">
        <v>1</v>
      </c>
      <c r="BU68" s="35">
        <v>8</v>
      </c>
      <c r="BV68" s="35">
        <v>9</v>
      </c>
    </row>
    <row r="69" spans="2:74" s="17" customFormat="1" ht="20.100000000000001" hidden="1" customHeight="1" x14ac:dyDescent="0.25">
      <c r="B69" s="17" t="s">
        <v>69</v>
      </c>
      <c r="C69" s="17">
        <v>3</v>
      </c>
      <c r="Q69" s="55"/>
      <c r="AB69" s="74">
        <v>6</v>
      </c>
      <c r="AC69" s="34">
        <v>1</v>
      </c>
      <c r="AD69" s="35">
        <v>7</v>
      </c>
      <c r="AE69" s="35">
        <v>7</v>
      </c>
      <c r="AF69" s="35">
        <v>7</v>
      </c>
      <c r="AG69" s="35">
        <v>7</v>
      </c>
      <c r="AH69" s="35">
        <v>7</v>
      </c>
      <c r="AI69" s="35">
        <v>8</v>
      </c>
      <c r="AJ69" s="35">
        <v>8</v>
      </c>
      <c r="AK69" s="35">
        <v>9</v>
      </c>
      <c r="AL69" s="36"/>
      <c r="AM69" s="75"/>
      <c r="AN69" s="34">
        <v>2</v>
      </c>
      <c r="AO69" s="35">
        <v>3</v>
      </c>
      <c r="AP69" s="35">
        <v>4</v>
      </c>
      <c r="AR69" s="75"/>
      <c r="AS69" s="34">
        <v>2</v>
      </c>
      <c r="AT69" s="35">
        <v>4</v>
      </c>
      <c r="AU69" s="35">
        <v>4</v>
      </c>
      <c r="AV69" s="75"/>
      <c r="AW69" s="34">
        <v>2</v>
      </c>
      <c r="AX69" s="35">
        <v>4</v>
      </c>
      <c r="AY69" s="35">
        <v>4</v>
      </c>
      <c r="AZ69" s="75"/>
      <c r="BA69" s="34">
        <v>2</v>
      </c>
      <c r="BB69" s="35">
        <v>5</v>
      </c>
      <c r="BC69" s="35">
        <v>5</v>
      </c>
      <c r="BE69" s="30"/>
      <c r="BF69" s="75"/>
      <c r="BG69" s="34">
        <v>2</v>
      </c>
      <c r="BH69" s="35">
        <v>8</v>
      </c>
      <c r="BI69" s="35">
        <v>8</v>
      </c>
      <c r="BK69" s="75"/>
      <c r="BL69" s="34">
        <v>2</v>
      </c>
      <c r="BM69" s="35">
        <v>8</v>
      </c>
      <c r="BN69" s="35">
        <v>8</v>
      </c>
      <c r="BO69" s="75"/>
      <c r="BP69" s="34">
        <v>2</v>
      </c>
      <c r="BQ69" s="35">
        <v>8</v>
      </c>
      <c r="BR69" s="35">
        <v>9</v>
      </c>
      <c r="BS69" s="75"/>
      <c r="BT69" s="34">
        <v>2</v>
      </c>
      <c r="BU69" s="35">
        <v>9</v>
      </c>
      <c r="BV69" s="35">
        <v>9</v>
      </c>
    </row>
    <row r="70" spans="2:74" s="17" customFormat="1" ht="20.100000000000001" hidden="1" customHeight="1" x14ac:dyDescent="0.25">
      <c r="Q70" s="55"/>
      <c r="AB70" s="75"/>
      <c r="AC70" s="34">
        <v>2</v>
      </c>
      <c r="AD70" s="35">
        <v>8</v>
      </c>
      <c r="AE70" s="35">
        <v>8</v>
      </c>
      <c r="AF70" s="35">
        <v>8</v>
      </c>
      <c r="AG70" s="35">
        <v>8</v>
      </c>
      <c r="AH70" s="35">
        <v>8</v>
      </c>
      <c r="AI70" s="35">
        <v>9</v>
      </c>
      <c r="AJ70" s="35">
        <v>9</v>
      </c>
      <c r="AK70" s="35">
        <v>9</v>
      </c>
      <c r="AL70" s="36"/>
      <c r="AM70" s="76"/>
      <c r="AN70" s="34">
        <v>3</v>
      </c>
      <c r="AO70" s="35">
        <v>4</v>
      </c>
      <c r="AP70" s="35">
        <v>4</v>
      </c>
      <c r="AR70" s="76"/>
      <c r="AS70" s="34">
        <v>3</v>
      </c>
      <c r="AT70" s="35">
        <v>4</v>
      </c>
      <c r="AU70" s="35">
        <v>4</v>
      </c>
      <c r="AV70" s="76"/>
      <c r="AW70" s="34">
        <v>3</v>
      </c>
      <c r="AX70" s="35">
        <v>4</v>
      </c>
      <c r="AY70" s="35">
        <v>5</v>
      </c>
      <c r="AZ70" s="76"/>
      <c r="BA70" s="34">
        <v>3</v>
      </c>
      <c r="BB70" s="35">
        <v>5</v>
      </c>
      <c r="BC70" s="35">
        <v>5</v>
      </c>
      <c r="BE70" s="30"/>
      <c r="BF70" s="76"/>
      <c r="BG70" s="34">
        <v>3</v>
      </c>
      <c r="BH70" s="35">
        <v>9</v>
      </c>
      <c r="BI70" s="35">
        <v>9</v>
      </c>
      <c r="BK70" s="76"/>
      <c r="BL70" s="34">
        <v>3</v>
      </c>
      <c r="BM70" s="35">
        <v>9</v>
      </c>
      <c r="BN70" s="35">
        <v>9</v>
      </c>
      <c r="BO70" s="76"/>
      <c r="BP70" s="34">
        <v>3</v>
      </c>
      <c r="BQ70" s="35">
        <v>9</v>
      </c>
      <c r="BR70" s="35">
        <v>9</v>
      </c>
      <c r="BS70" s="76"/>
      <c r="BT70" s="34">
        <v>3</v>
      </c>
      <c r="BU70" s="35">
        <v>9</v>
      </c>
      <c r="BV70" s="35">
        <v>9</v>
      </c>
    </row>
    <row r="71" spans="2:74" s="17" customFormat="1" ht="20.100000000000001" hidden="1" customHeight="1" x14ac:dyDescent="0.25">
      <c r="Q71" s="55"/>
      <c r="AB71" s="76"/>
      <c r="AC71" s="34">
        <v>3</v>
      </c>
      <c r="AD71" s="35">
        <v>9</v>
      </c>
      <c r="AE71" s="35">
        <v>9</v>
      </c>
      <c r="AF71" s="35">
        <v>9</v>
      </c>
      <c r="AG71" s="35">
        <v>9</v>
      </c>
      <c r="AH71" s="35">
        <v>9</v>
      </c>
      <c r="AI71" s="35">
        <v>9</v>
      </c>
      <c r="AJ71" s="35">
        <v>9</v>
      </c>
      <c r="AK71" s="35">
        <v>9</v>
      </c>
      <c r="AL71" s="36"/>
    </row>
    <row r="72" spans="2:74" s="17" customFormat="1" ht="20.100000000000001" hidden="1" customHeight="1" x14ac:dyDescent="0.25">
      <c r="B72" s="29" t="s">
        <v>8</v>
      </c>
      <c r="Q72" s="55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6"/>
    </row>
    <row r="73" spans="2:74" s="17" customFormat="1" ht="20.100000000000001" hidden="1" customHeight="1" x14ac:dyDescent="0.25">
      <c r="B73" s="17" t="s">
        <v>30</v>
      </c>
      <c r="C73" s="17">
        <v>1</v>
      </c>
      <c r="Q73" s="55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6"/>
    </row>
    <row r="74" spans="2:74" s="17" customFormat="1" ht="20.100000000000001" hidden="1" customHeight="1" x14ac:dyDescent="0.25">
      <c r="B74" s="17" t="s">
        <v>31</v>
      </c>
      <c r="C74" s="17">
        <v>2</v>
      </c>
      <c r="Q74" s="55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</row>
    <row r="75" spans="2:74" s="17" customFormat="1" ht="20.100000000000001" hidden="1" customHeight="1" x14ac:dyDescent="0.25">
      <c r="Q75" s="55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Q75" s="17" t="s">
        <v>78</v>
      </c>
    </row>
    <row r="76" spans="2:74" s="17" customFormat="1" ht="20.100000000000001" hidden="1" customHeight="1" x14ac:dyDescent="0.25">
      <c r="Q76" s="55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</row>
    <row r="77" spans="2:74" s="17" customFormat="1" ht="20.100000000000001" hidden="1" customHeight="1" x14ac:dyDescent="0.25">
      <c r="B77" s="38" t="s">
        <v>6</v>
      </c>
      <c r="Q77" s="55"/>
      <c r="AB77" s="82" t="s">
        <v>27</v>
      </c>
      <c r="AC77" s="82"/>
      <c r="AD77" s="78" t="s">
        <v>15</v>
      </c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</row>
    <row r="78" spans="2:74" s="17" customFormat="1" ht="20.100000000000001" hidden="1" customHeight="1" x14ac:dyDescent="0.25">
      <c r="B78" s="79" t="s">
        <v>86</v>
      </c>
      <c r="C78" s="80">
        <v>0</v>
      </c>
      <c r="Q78" s="55"/>
      <c r="AB78" s="82"/>
      <c r="AC78" s="82"/>
      <c r="AD78" s="78">
        <v>1</v>
      </c>
      <c r="AE78" s="78"/>
      <c r="AF78" s="78">
        <v>2</v>
      </c>
      <c r="AG78" s="78"/>
      <c r="AH78" s="78">
        <v>3</v>
      </c>
      <c r="AI78" s="78"/>
      <c r="AJ78" s="78">
        <v>4</v>
      </c>
      <c r="AK78" s="78"/>
      <c r="AL78" s="78">
        <v>5</v>
      </c>
      <c r="AM78" s="78"/>
      <c r="AN78" s="78">
        <v>6</v>
      </c>
      <c r="AO78" s="78"/>
      <c r="AS78" s="78">
        <v>1</v>
      </c>
      <c r="AT78" s="78"/>
      <c r="AX78" s="78">
        <v>2</v>
      </c>
      <c r="AY78" s="78"/>
      <c r="BC78" s="78">
        <v>3</v>
      </c>
      <c r="BD78" s="78"/>
      <c r="BH78" s="78">
        <v>4</v>
      </c>
      <c r="BI78" s="78"/>
      <c r="BM78" s="78">
        <v>5</v>
      </c>
      <c r="BN78" s="78"/>
      <c r="BR78" s="78">
        <v>6</v>
      </c>
      <c r="BS78" s="78"/>
    </row>
    <row r="79" spans="2:74" s="17" customFormat="1" ht="20.100000000000001" hidden="1" customHeight="1" x14ac:dyDescent="0.25">
      <c r="B79" s="79"/>
      <c r="C79" s="80"/>
      <c r="Q79" s="55"/>
      <c r="AB79" s="82"/>
      <c r="AC79" s="82"/>
      <c r="AD79" s="73" t="s">
        <v>16</v>
      </c>
      <c r="AE79" s="73"/>
      <c r="AF79" s="73" t="s">
        <v>16</v>
      </c>
      <c r="AG79" s="73"/>
      <c r="AH79" s="73" t="s">
        <v>16</v>
      </c>
      <c r="AI79" s="73"/>
      <c r="AJ79" s="73" t="s">
        <v>16</v>
      </c>
      <c r="AK79" s="73"/>
      <c r="AL79" s="73" t="s">
        <v>16</v>
      </c>
      <c r="AM79" s="73"/>
      <c r="AN79" s="73" t="s">
        <v>16</v>
      </c>
      <c r="AO79" s="73"/>
      <c r="AS79" s="73" t="s">
        <v>16</v>
      </c>
      <c r="AT79" s="73"/>
      <c r="AX79" s="73" t="s">
        <v>16</v>
      </c>
      <c r="AY79" s="73"/>
      <c r="BC79" s="73" t="s">
        <v>16</v>
      </c>
      <c r="BD79" s="73"/>
      <c r="BH79" s="73" t="s">
        <v>16</v>
      </c>
      <c r="BI79" s="73"/>
      <c r="BM79" s="73" t="s">
        <v>16</v>
      </c>
      <c r="BN79" s="73"/>
      <c r="BR79" s="73" t="s">
        <v>16</v>
      </c>
      <c r="BS79" s="73"/>
    </row>
    <row r="80" spans="2:74" s="17" customFormat="1" ht="20.100000000000001" hidden="1" customHeight="1" x14ac:dyDescent="0.25">
      <c r="B80" s="79"/>
      <c r="C80" s="80"/>
      <c r="Q80" s="55"/>
      <c r="AB80" s="82"/>
      <c r="AC80" s="82"/>
      <c r="AD80" s="39">
        <v>1</v>
      </c>
      <c r="AE80" s="39">
        <v>2</v>
      </c>
      <c r="AF80" s="39">
        <v>1</v>
      </c>
      <c r="AG80" s="39">
        <v>2</v>
      </c>
      <c r="AH80" s="39">
        <v>1</v>
      </c>
      <c r="AI80" s="39">
        <v>2</v>
      </c>
      <c r="AJ80" s="39">
        <v>1</v>
      </c>
      <c r="AK80" s="39">
        <v>2</v>
      </c>
      <c r="AL80" s="39">
        <v>1</v>
      </c>
      <c r="AM80" s="39">
        <v>2</v>
      </c>
      <c r="AN80" s="39">
        <v>1</v>
      </c>
      <c r="AO80" s="39">
        <v>2</v>
      </c>
      <c r="AS80" s="39">
        <v>1</v>
      </c>
      <c r="AT80" s="39">
        <v>2</v>
      </c>
      <c r="AX80" s="39">
        <v>1</v>
      </c>
      <c r="AY80" s="39">
        <v>2</v>
      </c>
      <c r="BC80" s="39">
        <v>1</v>
      </c>
      <c r="BD80" s="39">
        <v>2</v>
      </c>
      <c r="BH80" s="39">
        <v>1</v>
      </c>
      <c r="BI80" s="39">
        <v>2</v>
      </c>
      <c r="BM80" s="39">
        <v>1</v>
      </c>
      <c r="BN80" s="39">
        <v>2</v>
      </c>
      <c r="BR80" s="39">
        <v>1</v>
      </c>
      <c r="BS80" s="39">
        <v>2</v>
      </c>
    </row>
    <row r="81" spans="2:71" s="17" customFormat="1" ht="20.100000000000001" hidden="1" customHeight="1" x14ac:dyDescent="0.25">
      <c r="B81" s="81" t="s">
        <v>87</v>
      </c>
      <c r="C81" s="80">
        <v>1</v>
      </c>
      <c r="Q81" s="55"/>
      <c r="AB81" s="77" t="s">
        <v>34</v>
      </c>
      <c r="AC81" s="40">
        <v>1</v>
      </c>
      <c r="AD81" s="41">
        <v>1</v>
      </c>
      <c r="AE81" s="41">
        <v>3</v>
      </c>
      <c r="AF81" s="41">
        <v>2</v>
      </c>
      <c r="AG81" s="41">
        <v>3</v>
      </c>
      <c r="AH81" s="41">
        <v>3</v>
      </c>
      <c r="AI81" s="41">
        <v>4</v>
      </c>
      <c r="AJ81" s="41">
        <v>5</v>
      </c>
      <c r="AK81" s="41">
        <v>5</v>
      </c>
      <c r="AL81" s="41">
        <v>6</v>
      </c>
      <c r="AM81" s="41">
        <v>6</v>
      </c>
      <c r="AN81" s="41">
        <v>7</v>
      </c>
      <c r="AO81" s="41">
        <v>7</v>
      </c>
      <c r="AQ81" s="77" t="s">
        <v>19</v>
      </c>
      <c r="AR81" s="40">
        <v>1</v>
      </c>
      <c r="AS81" s="41">
        <v>1</v>
      </c>
      <c r="AT81" s="41">
        <v>3</v>
      </c>
      <c r="AV81" s="77" t="s">
        <v>19</v>
      </c>
      <c r="AW81" s="40">
        <v>1</v>
      </c>
      <c r="AX81" s="41">
        <v>2</v>
      </c>
      <c r="AY81" s="41">
        <v>3</v>
      </c>
      <c r="BA81" s="77" t="s">
        <v>19</v>
      </c>
      <c r="BB81" s="40">
        <v>1</v>
      </c>
      <c r="BC81" s="41">
        <v>3</v>
      </c>
      <c r="BD81" s="41">
        <v>4</v>
      </c>
      <c r="BF81" s="77" t="s">
        <v>19</v>
      </c>
      <c r="BG81" s="40">
        <v>1</v>
      </c>
      <c r="BH81" s="41">
        <v>5</v>
      </c>
      <c r="BI81" s="41">
        <v>5</v>
      </c>
      <c r="BK81" s="77" t="s">
        <v>19</v>
      </c>
      <c r="BL81" s="40">
        <v>1</v>
      </c>
      <c r="BM81" s="41">
        <v>6</v>
      </c>
      <c r="BN81" s="41">
        <v>6</v>
      </c>
      <c r="BP81" s="77" t="s">
        <v>19</v>
      </c>
      <c r="BQ81" s="40">
        <v>1</v>
      </c>
      <c r="BR81" s="41">
        <v>7</v>
      </c>
      <c r="BS81" s="41">
        <v>7</v>
      </c>
    </row>
    <row r="82" spans="2:71" s="17" customFormat="1" ht="20.100000000000001" hidden="1" customHeight="1" x14ac:dyDescent="0.25">
      <c r="B82" s="81"/>
      <c r="C82" s="80"/>
      <c r="Q82" s="55"/>
      <c r="AB82" s="77"/>
      <c r="AC82" s="40">
        <v>2</v>
      </c>
      <c r="AD82" s="41">
        <v>2</v>
      </c>
      <c r="AE82" s="41">
        <v>3</v>
      </c>
      <c r="AF82" s="41">
        <v>2</v>
      </c>
      <c r="AG82" s="41">
        <v>3</v>
      </c>
      <c r="AH82" s="41">
        <v>4</v>
      </c>
      <c r="AI82" s="41">
        <v>5</v>
      </c>
      <c r="AJ82" s="41">
        <v>5</v>
      </c>
      <c r="AK82" s="41">
        <v>5</v>
      </c>
      <c r="AL82" s="41">
        <v>6</v>
      </c>
      <c r="AM82" s="41">
        <v>7</v>
      </c>
      <c r="AN82" s="41">
        <v>7</v>
      </c>
      <c r="AO82" s="41">
        <v>7</v>
      </c>
      <c r="AQ82" s="77"/>
      <c r="AR82" s="40">
        <v>2</v>
      </c>
      <c r="AS82" s="41">
        <v>2</v>
      </c>
      <c r="AT82" s="41">
        <v>3</v>
      </c>
      <c r="AV82" s="77"/>
      <c r="AW82" s="40">
        <v>2</v>
      </c>
      <c r="AX82" s="41">
        <v>2</v>
      </c>
      <c r="AY82" s="41">
        <v>3</v>
      </c>
      <c r="BA82" s="77"/>
      <c r="BB82" s="40">
        <v>2</v>
      </c>
      <c r="BC82" s="41">
        <v>4</v>
      </c>
      <c r="BD82" s="41">
        <v>5</v>
      </c>
      <c r="BF82" s="77"/>
      <c r="BG82" s="40">
        <v>2</v>
      </c>
      <c r="BH82" s="41">
        <v>5</v>
      </c>
      <c r="BI82" s="41">
        <v>5</v>
      </c>
      <c r="BK82" s="77"/>
      <c r="BL82" s="40">
        <v>2</v>
      </c>
      <c r="BM82" s="41">
        <v>6</v>
      </c>
      <c r="BN82" s="41">
        <v>7</v>
      </c>
      <c r="BP82" s="77"/>
      <c r="BQ82" s="40">
        <v>2</v>
      </c>
      <c r="BR82" s="41">
        <v>7</v>
      </c>
      <c r="BS82" s="41">
        <v>7</v>
      </c>
    </row>
    <row r="83" spans="2:71" s="17" customFormat="1" ht="20.100000000000001" hidden="1" customHeight="1" x14ac:dyDescent="0.25">
      <c r="B83" s="81"/>
      <c r="C83" s="80"/>
      <c r="Q83" s="55"/>
      <c r="AB83" s="77"/>
      <c r="AC83" s="40">
        <v>3</v>
      </c>
      <c r="AD83" s="41">
        <v>3</v>
      </c>
      <c r="AE83" s="41">
        <v>3</v>
      </c>
      <c r="AF83" s="41">
        <v>3</v>
      </c>
      <c r="AG83" s="41">
        <v>4</v>
      </c>
      <c r="AH83" s="41">
        <v>4</v>
      </c>
      <c r="AI83" s="41">
        <v>5</v>
      </c>
      <c r="AJ83" s="41">
        <v>5</v>
      </c>
      <c r="AK83" s="41">
        <v>6</v>
      </c>
      <c r="AL83" s="41">
        <v>6</v>
      </c>
      <c r="AM83" s="41">
        <v>7</v>
      </c>
      <c r="AN83" s="41">
        <v>7</v>
      </c>
      <c r="AO83" s="41">
        <v>7</v>
      </c>
      <c r="AQ83" s="77"/>
      <c r="AR83" s="40">
        <v>3</v>
      </c>
      <c r="AS83" s="41">
        <v>3</v>
      </c>
      <c r="AT83" s="41">
        <v>3</v>
      </c>
      <c r="AV83" s="77"/>
      <c r="AW83" s="40">
        <v>3</v>
      </c>
      <c r="AX83" s="41">
        <v>3</v>
      </c>
      <c r="AY83" s="41">
        <v>4</v>
      </c>
      <c r="BA83" s="77"/>
      <c r="BB83" s="40">
        <v>3</v>
      </c>
      <c r="BC83" s="41">
        <v>4</v>
      </c>
      <c r="BD83" s="41">
        <v>5</v>
      </c>
      <c r="BF83" s="77"/>
      <c r="BG83" s="40">
        <v>3</v>
      </c>
      <c r="BH83" s="41">
        <v>5</v>
      </c>
      <c r="BI83" s="41">
        <v>6</v>
      </c>
      <c r="BK83" s="77"/>
      <c r="BL83" s="40">
        <v>3</v>
      </c>
      <c r="BM83" s="41">
        <v>6</v>
      </c>
      <c r="BN83" s="41">
        <v>7</v>
      </c>
      <c r="BP83" s="77"/>
      <c r="BQ83" s="40">
        <v>3</v>
      </c>
      <c r="BR83" s="41">
        <v>7</v>
      </c>
      <c r="BS83" s="41">
        <v>7</v>
      </c>
    </row>
    <row r="84" spans="2:71" s="17" customFormat="1" ht="20.100000000000001" hidden="1" customHeight="1" x14ac:dyDescent="0.25">
      <c r="Q84" s="55"/>
      <c r="AB84" s="77"/>
      <c r="AC84" s="40">
        <v>4</v>
      </c>
      <c r="AD84" s="41">
        <v>5</v>
      </c>
      <c r="AE84" s="41">
        <v>5</v>
      </c>
      <c r="AF84" s="41">
        <v>5</v>
      </c>
      <c r="AG84" s="41">
        <v>6</v>
      </c>
      <c r="AH84" s="41">
        <v>6</v>
      </c>
      <c r="AI84" s="41">
        <v>7</v>
      </c>
      <c r="AJ84" s="41">
        <v>7</v>
      </c>
      <c r="AK84" s="41">
        <v>7</v>
      </c>
      <c r="AL84" s="41">
        <v>7</v>
      </c>
      <c r="AM84" s="41">
        <v>7</v>
      </c>
      <c r="AN84" s="41">
        <v>8</v>
      </c>
      <c r="AO84" s="41">
        <v>8</v>
      </c>
      <c r="AQ84" s="77"/>
      <c r="AR84" s="40">
        <v>4</v>
      </c>
      <c r="AS84" s="41">
        <v>5</v>
      </c>
      <c r="AT84" s="41">
        <v>5</v>
      </c>
      <c r="AV84" s="77"/>
      <c r="AW84" s="40">
        <v>4</v>
      </c>
      <c r="AX84" s="41">
        <v>5</v>
      </c>
      <c r="AY84" s="41">
        <v>6</v>
      </c>
      <c r="BA84" s="77"/>
      <c r="BB84" s="40">
        <v>4</v>
      </c>
      <c r="BC84" s="41">
        <v>6</v>
      </c>
      <c r="BD84" s="41">
        <v>7</v>
      </c>
      <c r="BF84" s="77"/>
      <c r="BG84" s="40">
        <v>4</v>
      </c>
      <c r="BH84" s="41">
        <v>7</v>
      </c>
      <c r="BI84" s="41">
        <v>7</v>
      </c>
      <c r="BK84" s="77"/>
      <c r="BL84" s="40">
        <v>4</v>
      </c>
      <c r="BM84" s="41">
        <v>7</v>
      </c>
      <c r="BN84" s="41">
        <v>7</v>
      </c>
      <c r="BP84" s="77"/>
      <c r="BQ84" s="40">
        <v>4</v>
      </c>
      <c r="BR84" s="41">
        <v>8</v>
      </c>
      <c r="BS84" s="41">
        <v>8</v>
      </c>
    </row>
    <row r="85" spans="2:71" s="17" customFormat="1" ht="20.100000000000001" hidden="1" customHeight="1" x14ac:dyDescent="0.25">
      <c r="B85" s="17" t="s">
        <v>32</v>
      </c>
      <c r="Q85" s="55"/>
      <c r="AB85" s="77"/>
      <c r="AC85" s="40">
        <v>5</v>
      </c>
      <c r="AD85" s="41">
        <v>7</v>
      </c>
      <c r="AE85" s="41">
        <v>7</v>
      </c>
      <c r="AF85" s="41">
        <v>7</v>
      </c>
      <c r="AG85" s="41">
        <v>7</v>
      </c>
      <c r="AH85" s="41">
        <v>7</v>
      </c>
      <c r="AI85" s="41">
        <v>8</v>
      </c>
      <c r="AJ85" s="41">
        <v>8</v>
      </c>
      <c r="AK85" s="41">
        <v>8</v>
      </c>
      <c r="AL85" s="41">
        <v>8</v>
      </c>
      <c r="AM85" s="41">
        <v>8</v>
      </c>
      <c r="AN85" s="41">
        <v>8</v>
      </c>
      <c r="AO85" s="41">
        <v>8</v>
      </c>
      <c r="AQ85" s="77"/>
      <c r="AR85" s="40">
        <v>5</v>
      </c>
      <c r="AS85" s="41">
        <v>7</v>
      </c>
      <c r="AT85" s="41">
        <v>7</v>
      </c>
      <c r="AV85" s="77"/>
      <c r="AW85" s="40">
        <v>5</v>
      </c>
      <c r="AX85" s="41">
        <v>7</v>
      </c>
      <c r="AY85" s="41">
        <v>7</v>
      </c>
      <c r="BA85" s="77"/>
      <c r="BB85" s="40">
        <v>5</v>
      </c>
      <c r="BC85" s="41">
        <v>7</v>
      </c>
      <c r="BD85" s="41">
        <v>8</v>
      </c>
      <c r="BF85" s="77"/>
      <c r="BG85" s="40">
        <v>5</v>
      </c>
      <c r="BH85" s="41">
        <v>8</v>
      </c>
      <c r="BI85" s="41">
        <v>8</v>
      </c>
      <c r="BK85" s="77"/>
      <c r="BL85" s="40">
        <v>5</v>
      </c>
      <c r="BM85" s="41">
        <v>8</v>
      </c>
      <c r="BN85" s="41">
        <v>8</v>
      </c>
      <c r="BP85" s="77"/>
      <c r="BQ85" s="40">
        <v>5</v>
      </c>
      <c r="BR85" s="41">
        <v>8</v>
      </c>
      <c r="BS85" s="41">
        <v>8</v>
      </c>
    </row>
    <row r="86" spans="2:71" s="17" customFormat="1" ht="20.100000000000001" hidden="1" customHeight="1" x14ac:dyDescent="0.25">
      <c r="Q86" s="55"/>
      <c r="AB86" s="77"/>
      <c r="AC86" s="40">
        <v>6</v>
      </c>
      <c r="AD86" s="41">
        <v>8</v>
      </c>
      <c r="AE86" s="41">
        <v>8</v>
      </c>
      <c r="AF86" s="41">
        <v>8</v>
      </c>
      <c r="AG86" s="41">
        <v>8</v>
      </c>
      <c r="AH86" s="41">
        <v>8</v>
      </c>
      <c r="AI86" s="41">
        <v>8</v>
      </c>
      <c r="AJ86" s="41">
        <v>8</v>
      </c>
      <c r="AK86" s="41">
        <v>9</v>
      </c>
      <c r="AL86" s="41">
        <v>9</v>
      </c>
      <c r="AM86" s="41">
        <v>9</v>
      </c>
      <c r="AN86" s="41">
        <v>9</v>
      </c>
      <c r="AO86" s="41">
        <v>9</v>
      </c>
      <c r="AQ86" s="77"/>
      <c r="AR86" s="40">
        <v>6</v>
      </c>
      <c r="AS86" s="41">
        <v>8</v>
      </c>
      <c r="AT86" s="41">
        <v>8</v>
      </c>
      <c r="AV86" s="77"/>
      <c r="AW86" s="40">
        <v>6</v>
      </c>
      <c r="AX86" s="41">
        <v>8</v>
      </c>
      <c r="AY86" s="41">
        <v>8</v>
      </c>
      <c r="BA86" s="77"/>
      <c r="BB86" s="40">
        <v>6</v>
      </c>
      <c r="BC86" s="41">
        <v>8</v>
      </c>
      <c r="BD86" s="41">
        <v>8</v>
      </c>
      <c r="BF86" s="77"/>
      <c r="BG86" s="40">
        <v>6</v>
      </c>
      <c r="BH86" s="41">
        <v>8</v>
      </c>
      <c r="BI86" s="41">
        <v>9</v>
      </c>
      <c r="BK86" s="77"/>
      <c r="BL86" s="40">
        <v>6</v>
      </c>
      <c r="BM86" s="41">
        <v>9</v>
      </c>
      <c r="BN86" s="41">
        <v>9</v>
      </c>
      <c r="BP86" s="77"/>
      <c r="BQ86" s="40">
        <v>6</v>
      </c>
      <c r="BR86" s="41">
        <v>9</v>
      </c>
      <c r="BS86" s="41">
        <v>9</v>
      </c>
    </row>
    <row r="87" spans="2:71" s="17" customFormat="1" ht="20.100000000000001" hidden="1" customHeight="1" x14ac:dyDescent="0.25">
      <c r="B87" s="29" t="s">
        <v>34</v>
      </c>
      <c r="Q87" s="55"/>
    </row>
    <row r="88" spans="2:71" s="17" customFormat="1" ht="20.100000000000001" hidden="1" customHeight="1" x14ac:dyDescent="0.25">
      <c r="B88" s="17" t="s">
        <v>70</v>
      </c>
      <c r="C88" s="17">
        <v>1</v>
      </c>
      <c r="Q88" s="55"/>
    </row>
    <row r="89" spans="2:71" s="17" customFormat="1" ht="20.100000000000001" hidden="1" customHeight="1" x14ac:dyDescent="0.25">
      <c r="B89" s="17" t="s">
        <v>71</v>
      </c>
      <c r="C89" s="17">
        <v>2</v>
      </c>
      <c r="Q89" s="55"/>
    </row>
    <row r="90" spans="2:71" s="17" customFormat="1" ht="20.100000000000001" hidden="1" customHeight="1" x14ac:dyDescent="0.25">
      <c r="B90" s="17" t="s">
        <v>72</v>
      </c>
      <c r="C90" s="17">
        <v>3</v>
      </c>
      <c r="Q90" s="55"/>
      <c r="AB90" s="42" t="s">
        <v>25</v>
      </c>
      <c r="AC90" s="42"/>
      <c r="AD90" s="71" t="s">
        <v>24</v>
      </c>
      <c r="AE90" s="72"/>
      <c r="AF90" s="72"/>
      <c r="AG90" s="72"/>
      <c r="AH90" s="72"/>
      <c r="AI90" s="72"/>
      <c r="AJ90" s="72"/>
      <c r="AL90" s="17" t="s">
        <v>77</v>
      </c>
    </row>
    <row r="91" spans="2:71" s="17" customFormat="1" ht="20.100000000000001" hidden="1" customHeight="1" x14ac:dyDescent="0.25">
      <c r="B91" s="17" t="s">
        <v>33</v>
      </c>
      <c r="C91" s="17">
        <v>4</v>
      </c>
      <c r="Q91" s="55"/>
      <c r="AB91" s="42"/>
      <c r="AC91" s="42"/>
      <c r="AD91" s="43">
        <v>1</v>
      </c>
      <c r="AE91" s="44">
        <v>2</v>
      </c>
      <c r="AF91" s="44">
        <v>3</v>
      </c>
      <c r="AG91" s="44">
        <v>4</v>
      </c>
      <c r="AH91" s="44">
        <v>5</v>
      </c>
      <c r="AI91" s="44">
        <v>6</v>
      </c>
      <c r="AJ91" s="44">
        <v>7</v>
      </c>
      <c r="AK91" s="36"/>
      <c r="AL91" s="36"/>
      <c r="AM91" s="36"/>
      <c r="AN91" s="36"/>
      <c r="AO91" s="36"/>
    </row>
    <row r="92" spans="2:71" s="17" customFormat="1" ht="20.100000000000001" hidden="1" customHeight="1" x14ac:dyDescent="0.25">
      <c r="Q92" s="55"/>
      <c r="AB92" s="58" t="s">
        <v>23</v>
      </c>
      <c r="AC92" s="45">
        <v>1</v>
      </c>
      <c r="AD92" s="41">
        <v>1</v>
      </c>
      <c r="AE92" s="41">
        <v>2</v>
      </c>
      <c r="AF92" s="41">
        <v>3</v>
      </c>
      <c r="AG92" s="41">
        <v>3</v>
      </c>
      <c r="AH92" s="41">
        <v>4</v>
      </c>
      <c r="AI92" s="41">
        <v>5</v>
      </c>
      <c r="AJ92" s="41">
        <v>5</v>
      </c>
      <c r="AK92" s="36"/>
      <c r="AL92" s="36"/>
      <c r="AM92" s="36"/>
      <c r="AN92" s="36"/>
      <c r="AO92" s="36"/>
    </row>
    <row r="93" spans="2:71" s="17" customFormat="1" ht="20.100000000000001" hidden="1" customHeight="1" x14ac:dyDescent="0.25">
      <c r="Q93" s="55"/>
      <c r="AB93" s="58"/>
      <c r="AC93" s="46">
        <v>2</v>
      </c>
      <c r="AD93" s="41">
        <v>2</v>
      </c>
      <c r="AE93" s="41">
        <v>2</v>
      </c>
      <c r="AF93" s="41">
        <v>3</v>
      </c>
      <c r="AG93" s="41">
        <v>4</v>
      </c>
      <c r="AH93" s="41">
        <v>4</v>
      </c>
      <c r="AI93" s="41">
        <v>5</v>
      </c>
      <c r="AJ93" s="41">
        <v>5</v>
      </c>
      <c r="AK93" s="36"/>
      <c r="AL93" s="36"/>
      <c r="AM93" s="36"/>
      <c r="AN93" s="36"/>
      <c r="AO93" s="36"/>
    </row>
    <row r="94" spans="2:71" s="17" customFormat="1" ht="20.100000000000001" hidden="1" customHeight="1" x14ac:dyDescent="0.25">
      <c r="Q94" s="55"/>
      <c r="AB94" s="58"/>
      <c r="AC94" s="46">
        <v>3</v>
      </c>
      <c r="AD94" s="41">
        <v>3</v>
      </c>
      <c r="AE94" s="41">
        <v>3</v>
      </c>
      <c r="AF94" s="41">
        <v>3</v>
      </c>
      <c r="AG94" s="41">
        <v>4</v>
      </c>
      <c r="AH94" s="41">
        <v>4</v>
      </c>
      <c r="AI94" s="41">
        <v>5</v>
      </c>
      <c r="AJ94" s="41">
        <v>6</v>
      </c>
      <c r="AK94" s="36"/>
      <c r="AL94" s="36"/>
      <c r="AM94" s="36"/>
      <c r="AN94" s="36"/>
      <c r="AO94" s="36"/>
    </row>
    <row r="95" spans="2:71" s="17" customFormat="1" ht="20.100000000000001" hidden="1" customHeight="1" x14ac:dyDescent="0.25">
      <c r="B95" s="29" t="s">
        <v>15</v>
      </c>
      <c r="Q95" s="55"/>
      <c r="AB95" s="58"/>
      <c r="AC95" s="46">
        <v>4</v>
      </c>
      <c r="AD95" s="41">
        <v>3</v>
      </c>
      <c r="AE95" s="41">
        <v>3</v>
      </c>
      <c r="AF95" s="41">
        <v>3</v>
      </c>
      <c r="AG95" s="41">
        <v>4</v>
      </c>
      <c r="AH95" s="41">
        <v>5</v>
      </c>
      <c r="AI95" s="41">
        <v>6</v>
      </c>
      <c r="AJ95" s="41">
        <v>6</v>
      </c>
      <c r="AK95" s="36"/>
      <c r="AL95" s="36"/>
      <c r="AM95" s="36"/>
      <c r="AN95" s="36"/>
      <c r="AO95" s="36"/>
    </row>
    <row r="96" spans="2:71" s="17" customFormat="1" ht="20.100000000000001" hidden="1" customHeight="1" x14ac:dyDescent="0.25">
      <c r="B96" s="17" t="s">
        <v>29</v>
      </c>
      <c r="C96" s="17">
        <v>1</v>
      </c>
      <c r="Q96" s="55"/>
      <c r="AB96" s="58"/>
      <c r="AC96" s="46">
        <v>5</v>
      </c>
      <c r="AD96" s="41">
        <v>4</v>
      </c>
      <c r="AE96" s="41">
        <v>4</v>
      </c>
      <c r="AF96" s="41">
        <v>4</v>
      </c>
      <c r="AG96" s="41">
        <v>5</v>
      </c>
      <c r="AH96" s="41">
        <v>6</v>
      </c>
      <c r="AI96" s="41">
        <v>7</v>
      </c>
      <c r="AJ96" s="41">
        <v>7</v>
      </c>
      <c r="AK96" s="36"/>
      <c r="AL96" s="36"/>
      <c r="AM96" s="36"/>
      <c r="AN96" s="36"/>
      <c r="AO96" s="36"/>
    </row>
    <row r="97" spans="2:41" s="17" customFormat="1" ht="20.100000000000001" hidden="1" customHeight="1" x14ac:dyDescent="0.25">
      <c r="B97" s="17" t="s">
        <v>73</v>
      </c>
      <c r="C97" s="17">
        <v>2</v>
      </c>
      <c r="Q97" s="55"/>
      <c r="AB97" s="58"/>
      <c r="AC97" s="46">
        <v>6</v>
      </c>
      <c r="AD97" s="41">
        <v>4</v>
      </c>
      <c r="AE97" s="41">
        <v>4</v>
      </c>
      <c r="AF97" s="41">
        <v>5</v>
      </c>
      <c r="AG97" s="41">
        <v>6</v>
      </c>
      <c r="AH97" s="41">
        <v>6</v>
      </c>
      <c r="AI97" s="41">
        <v>7</v>
      </c>
      <c r="AJ97" s="41">
        <v>7</v>
      </c>
      <c r="AK97" s="36"/>
      <c r="AL97" s="36"/>
      <c r="AM97" s="36"/>
      <c r="AN97" s="36"/>
      <c r="AO97" s="36"/>
    </row>
    <row r="98" spans="2:41" s="17" customFormat="1" ht="20.100000000000001" hidden="1" customHeight="1" x14ac:dyDescent="0.25">
      <c r="B98" s="17" t="s">
        <v>74</v>
      </c>
      <c r="C98" s="17">
        <v>3</v>
      </c>
      <c r="Q98" s="55"/>
      <c r="AB98" s="58"/>
      <c r="AC98" s="46">
        <v>7</v>
      </c>
      <c r="AD98" s="41">
        <v>5</v>
      </c>
      <c r="AE98" s="41">
        <v>5</v>
      </c>
      <c r="AF98" s="41">
        <v>6</v>
      </c>
      <c r="AG98" s="41">
        <v>6</v>
      </c>
      <c r="AH98" s="41">
        <v>7</v>
      </c>
      <c r="AI98" s="41">
        <v>7</v>
      </c>
      <c r="AJ98" s="41">
        <v>7</v>
      </c>
      <c r="AK98" s="36"/>
      <c r="AL98" s="36"/>
      <c r="AM98" s="36"/>
      <c r="AN98" s="36"/>
      <c r="AO98" s="36"/>
    </row>
    <row r="99" spans="2:41" s="17" customFormat="1" ht="20.100000000000001" hidden="1" customHeight="1" x14ac:dyDescent="0.25">
      <c r="B99" s="17" t="s">
        <v>75</v>
      </c>
      <c r="C99" s="17">
        <v>4</v>
      </c>
      <c r="Q99" s="55"/>
      <c r="AB99" s="58"/>
      <c r="AC99" s="46">
        <v>8</v>
      </c>
      <c r="AD99" s="41">
        <v>5</v>
      </c>
      <c r="AE99" s="41">
        <v>5</v>
      </c>
      <c r="AF99" s="41">
        <v>6</v>
      </c>
      <c r="AG99" s="41">
        <v>7</v>
      </c>
      <c r="AH99" s="41">
        <v>7</v>
      </c>
      <c r="AI99" s="41">
        <v>7</v>
      </c>
      <c r="AJ99" s="41">
        <v>7</v>
      </c>
      <c r="AK99" s="36"/>
      <c r="AL99" s="36"/>
      <c r="AM99" s="36"/>
      <c r="AN99" s="36"/>
      <c r="AO99" s="36"/>
    </row>
    <row r="100" spans="2:41" s="17" customFormat="1" ht="20.100000000000001" hidden="1" customHeight="1" x14ac:dyDescent="0.25">
      <c r="Q100" s="55"/>
      <c r="AB100" s="58"/>
      <c r="AC100" s="46">
        <v>9</v>
      </c>
      <c r="AD100" s="41">
        <v>5</v>
      </c>
      <c r="AE100" s="41">
        <v>5</v>
      </c>
      <c r="AF100" s="41">
        <v>6</v>
      </c>
      <c r="AG100" s="41">
        <v>7</v>
      </c>
      <c r="AH100" s="41">
        <v>7</v>
      </c>
      <c r="AI100" s="41">
        <v>7</v>
      </c>
      <c r="AJ100" s="41">
        <v>7</v>
      </c>
    </row>
    <row r="101" spans="2:41" s="17" customFormat="1" ht="20.100000000000001" hidden="1" customHeight="1" x14ac:dyDescent="0.25">
      <c r="Q101" s="55"/>
      <c r="AB101" s="58"/>
      <c r="AC101" s="46">
        <v>10</v>
      </c>
      <c r="AD101" s="41">
        <v>5</v>
      </c>
      <c r="AE101" s="41">
        <v>5</v>
      </c>
      <c r="AF101" s="41">
        <v>6</v>
      </c>
      <c r="AG101" s="41">
        <v>7</v>
      </c>
      <c r="AH101" s="41">
        <v>7</v>
      </c>
      <c r="AI101" s="41">
        <v>7</v>
      </c>
      <c r="AJ101" s="41">
        <v>7</v>
      </c>
    </row>
    <row r="102" spans="2:41" s="17" customFormat="1" ht="20.100000000000001" hidden="1" customHeight="1" x14ac:dyDescent="0.25">
      <c r="B102" s="29" t="s">
        <v>16</v>
      </c>
      <c r="Q102" s="55"/>
      <c r="AB102" s="58"/>
      <c r="AC102" s="46">
        <v>11</v>
      </c>
      <c r="AD102" s="41">
        <v>5</v>
      </c>
      <c r="AE102" s="41">
        <v>5</v>
      </c>
      <c r="AF102" s="41">
        <v>6</v>
      </c>
      <c r="AG102" s="41">
        <v>7</v>
      </c>
      <c r="AH102" s="41">
        <v>7</v>
      </c>
      <c r="AI102" s="41">
        <v>7</v>
      </c>
      <c r="AJ102" s="41">
        <v>7</v>
      </c>
    </row>
    <row r="103" spans="2:41" s="17" customFormat="1" ht="20.100000000000001" hidden="1" customHeight="1" x14ac:dyDescent="0.25">
      <c r="B103" s="17" t="s">
        <v>36</v>
      </c>
      <c r="C103" s="17">
        <v>1</v>
      </c>
      <c r="Q103" s="55"/>
      <c r="AB103" s="58"/>
      <c r="AC103" s="46">
        <v>12</v>
      </c>
      <c r="AD103" s="41">
        <v>5</v>
      </c>
      <c r="AE103" s="41">
        <v>5</v>
      </c>
      <c r="AF103" s="41">
        <v>6</v>
      </c>
      <c r="AG103" s="41">
        <v>7</v>
      </c>
      <c r="AH103" s="41">
        <v>7</v>
      </c>
      <c r="AI103" s="41">
        <v>7</v>
      </c>
      <c r="AJ103" s="41">
        <v>7</v>
      </c>
    </row>
    <row r="104" spans="2:41" s="17" customFormat="1" ht="20.100000000000001" hidden="1" customHeight="1" x14ac:dyDescent="0.25">
      <c r="B104" s="17" t="s">
        <v>35</v>
      </c>
      <c r="C104" s="17">
        <v>2</v>
      </c>
      <c r="Q104" s="55"/>
      <c r="AB104" s="58"/>
      <c r="AC104" s="46">
        <v>13</v>
      </c>
      <c r="AD104" s="41">
        <v>5</v>
      </c>
      <c r="AE104" s="41">
        <v>5</v>
      </c>
      <c r="AF104" s="41">
        <v>6</v>
      </c>
      <c r="AG104" s="41">
        <v>7</v>
      </c>
      <c r="AH104" s="41">
        <v>7</v>
      </c>
      <c r="AI104" s="41">
        <v>7</v>
      </c>
      <c r="AJ104" s="41">
        <v>7</v>
      </c>
    </row>
    <row r="105" spans="2:41" s="17" customFormat="1" ht="20.100000000000001" hidden="1" customHeight="1" x14ac:dyDescent="0.25">
      <c r="Q105" s="55"/>
      <c r="AB105" s="58"/>
      <c r="AC105" s="46">
        <v>14</v>
      </c>
      <c r="AD105" s="41">
        <v>5</v>
      </c>
      <c r="AE105" s="41">
        <v>5</v>
      </c>
      <c r="AF105" s="41">
        <v>6</v>
      </c>
      <c r="AG105" s="41">
        <v>7</v>
      </c>
      <c r="AH105" s="41">
        <v>7</v>
      </c>
      <c r="AI105" s="41">
        <v>7</v>
      </c>
      <c r="AJ105" s="41">
        <v>7</v>
      </c>
    </row>
    <row r="106" spans="2:41" s="17" customFormat="1" ht="20.100000000000001" hidden="1" customHeight="1" x14ac:dyDescent="0.25">
      <c r="Q106" s="55"/>
      <c r="AB106" s="59"/>
      <c r="AC106" s="46">
        <v>15</v>
      </c>
      <c r="AD106" s="41">
        <v>5</v>
      </c>
      <c r="AE106" s="41">
        <v>5</v>
      </c>
      <c r="AF106" s="41">
        <v>6</v>
      </c>
      <c r="AG106" s="41">
        <v>7</v>
      </c>
      <c r="AH106" s="41">
        <v>7</v>
      </c>
      <c r="AI106" s="41">
        <v>7</v>
      </c>
      <c r="AJ106" s="41">
        <v>7</v>
      </c>
    </row>
    <row r="107" spans="2:41" s="17" customFormat="1" ht="20.100000000000001" hidden="1" customHeight="1" x14ac:dyDescent="0.25">
      <c r="B107" s="29" t="s">
        <v>37</v>
      </c>
      <c r="Q107" s="55"/>
    </row>
    <row r="108" spans="2:41" s="17" customFormat="1" ht="20.100000000000001" hidden="1" customHeight="1" x14ac:dyDescent="0.25">
      <c r="B108" s="17" t="s">
        <v>88</v>
      </c>
      <c r="C108" s="17">
        <v>0</v>
      </c>
      <c r="Q108" s="55"/>
    </row>
    <row r="109" spans="2:41" s="17" customFormat="1" ht="20.100000000000001" hidden="1" customHeight="1" x14ac:dyDescent="0.25">
      <c r="B109" s="17" t="s">
        <v>38</v>
      </c>
      <c r="C109" s="17">
        <v>1</v>
      </c>
      <c r="Q109" s="55"/>
    </row>
    <row r="110" spans="2:41" s="17" customFormat="1" ht="20.100000000000001" hidden="1" customHeight="1" x14ac:dyDescent="0.25">
      <c r="B110" s="17" t="s">
        <v>89</v>
      </c>
      <c r="C110" s="17">
        <v>2</v>
      </c>
      <c r="Q110" s="55"/>
    </row>
    <row r="111" spans="2:41" s="17" customFormat="1" ht="20.100000000000001" hidden="1" customHeight="1" x14ac:dyDescent="0.25">
      <c r="B111" s="17" t="s">
        <v>39</v>
      </c>
      <c r="C111" s="17">
        <v>3</v>
      </c>
      <c r="Q111" s="55"/>
    </row>
    <row r="112" spans="2:41" s="17" customFormat="1" ht="20.100000000000001" hidden="1" customHeight="1" x14ac:dyDescent="0.25">
      <c r="Q112" s="55"/>
    </row>
    <row r="113" spans="2:17" s="17" customFormat="1" ht="20.100000000000001" hidden="1" customHeight="1" x14ac:dyDescent="0.25">
      <c r="Q113" s="55"/>
    </row>
    <row r="114" spans="2:17" s="17" customFormat="1" ht="20.100000000000001" hidden="1" customHeight="1" x14ac:dyDescent="0.25">
      <c r="B114" s="17" t="s">
        <v>40</v>
      </c>
      <c r="C114" s="17">
        <v>0</v>
      </c>
      <c r="Q114" s="55"/>
    </row>
    <row r="115" spans="2:17" s="17" customFormat="1" ht="20.100000000000001" hidden="1" customHeight="1" x14ac:dyDescent="0.25">
      <c r="B115" s="17" t="s">
        <v>41</v>
      </c>
      <c r="C115" s="17">
        <v>1</v>
      </c>
      <c r="Q115" s="55"/>
    </row>
    <row r="116" spans="2:17" s="17" customFormat="1" ht="20.100000000000001" hidden="1" customHeight="1" x14ac:dyDescent="0.25">
      <c r="Q116" s="55"/>
    </row>
    <row r="117" spans="2:17" s="17" customFormat="1" ht="20.100000000000001" hidden="1" customHeight="1" x14ac:dyDescent="0.25">
      <c r="Q117" s="55"/>
    </row>
    <row r="118" spans="2:17" s="17" customFormat="1" ht="20.100000000000001" hidden="1" customHeight="1" x14ac:dyDescent="0.25">
      <c r="B118" s="17" t="s">
        <v>40</v>
      </c>
      <c r="C118" s="17">
        <v>-1</v>
      </c>
      <c r="Q118" s="55"/>
    </row>
    <row r="119" spans="2:17" s="17" customFormat="1" ht="20.100000000000001" hidden="1" customHeight="1" x14ac:dyDescent="0.25">
      <c r="B119" s="17" t="s">
        <v>41</v>
      </c>
      <c r="C119" s="17">
        <v>0</v>
      </c>
      <c r="Q119" s="55"/>
    </row>
    <row r="120" spans="2:17" s="17" customFormat="1" ht="20.100000000000001" hidden="1" customHeight="1" x14ac:dyDescent="0.25">
      <c r="Q120" s="55"/>
    </row>
    <row r="121" spans="2:17" s="17" customFormat="1" ht="20.100000000000001" hidden="1" customHeight="1" x14ac:dyDescent="0.25">
      <c r="Q121" s="55"/>
    </row>
    <row r="122" spans="2:17" s="17" customFormat="1" ht="20.100000000000001" hidden="1" customHeight="1" x14ac:dyDescent="0.25">
      <c r="Q122" s="55"/>
    </row>
    <row r="123" spans="2:17" s="17" customFormat="1" ht="20.100000000000001" customHeight="1" x14ac:dyDescent="0.25">
      <c r="Q123" s="55"/>
    </row>
    <row r="124" spans="2:17" s="17" customFormat="1" ht="18" customHeight="1" x14ac:dyDescent="0.25">
      <c r="Q124" s="55"/>
    </row>
    <row r="125" spans="2:17" s="17" customFormat="1" ht="18" customHeight="1" x14ac:dyDescent="0.25">
      <c r="Q125" s="55"/>
    </row>
    <row r="126" spans="2:17" s="17" customFormat="1" x14ac:dyDescent="0.25">
      <c r="Q126" s="55"/>
    </row>
    <row r="127" spans="2:17" s="17" customFormat="1" x14ac:dyDescent="0.25">
      <c r="Q127" s="55"/>
    </row>
    <row r="128" spans="2:17" s="17" customFormat="1" x14ac:dyDescent="0.25">
      <c r="Q128" s="55"/>
    </row>
    <row r="129" spans="17:17" s="17" customFormat="1" x14ac:dyDescent="0.25">
      <c r="Q129" s="55"/>
    </row>
    <row r="130" spans="17:17" s="17" customFormat="1" x14ac:dyDescent="0.25">
      <c r="Q130" s="55"/>
    </row>
    <row r="131" spans="17:17" s="17" customFormat="1" x14ac:dyDescent="0.25">
      <c r="Q131" s="55"/>
    </row>
    <row r="132" spans="17:17" s="17" customFormat="1" x14ac:dyDescent="0.25">
      <c r="Q132" s="55"/>
    </row>
    <row r="133" spans="17:17" s="17" customFormat="1" x14ac:dyDescent="0.25">
      <c r="Q133" s="55"/>
    </row>
    <row r="134" spans="17:17" s="17" customFormat="1" x14ac:dyDescent="0.25">
      <c r="Q134" s="55"/>
    </row>
    <row r="135" spans="17:17" s="17" customFormat="1" x14ac:dyDescent="0.25">
      <c r="Q135" s="55"/>
    </row>
    <row r="136" spans="17:17" s="17" customFormat="1" x14ac:dyDescent="0.25">
      <c r="Q136" s="55"/>
    </row>
    <row r="137" spans="17:17" s="17" customFormat="1" x14ac:dyDescent="0.25">
      <c r="Q137" s="55"/>
    </row>
    <row r="138" spans="17:17" s="17" customFormat="1" x14ac:dyDescent="0.25">
      <c r="Q138" s="55"/>
    </row>
    <row r="139" spans="17:17" s="17" customFormat="1" x14ac:dyDescent="0.25">
      <c r="Q139" s="55"/>
    </row>
    <row r="140" spans="17:17" s="17" customFormat="1" x14ac:dyDescent="0.25">
      <c r="Q140" s="55"/>
    </row>
    <row r="141" spans="17:17" s="17" customFormat="1" x14ac:dyDescent="0.25">
      <c r="Q141" s="55"/>
    </row>
    <row r="142" spans="17:17" s="17" customFormat="1" x14ac:dyDescent="0.25">
      <c r="Q142" s="55"/>
    </row>
    <row r="143" spans="17:17" s="17" customFormat="1" x14ac:dyDescent="0.25">
      <c r="Q143" s="55"/>
    </row>
    <row r="144" spans="17:17" s="17" customFormat="1" x14ac:dyDescent="0.25">
      <c r="Q144" s="55"/>
    </row>
    <row r="145" spans="17:17" s="17" customFormat="1" x14ac:dyDescent="0.25">
      <c r="Q145" s="55"/>
    </row>
    <row r="146" spans="17:17" s="17" customFormat="1" x14ac:dyDescent="0.25">
      <c r="Q146" s="55"/>
    </row>
    <row r="147" spans="17:17" s="17" customFormat="1" x14ac:dyDescent="0.25">
      <c r="Q147" s="55"/>
    </row>
    <row r="148" spans="17:17" s="17" customFormat="1" x14ac:dyDescent="0.25">
      <c r="Q148" s="55"/>
    </row>
    <row r="149" spans="17:17" s="17" customFormat="1" x14ac:dyDescent="0.25">
      <c r="Q149" s="55"/>
    </row>
    <row r="150" spans="17:17" s="17" customFormat="1" x14ac:dyDescent="0.25">
      <c r="Q150" s="55"/>
    </row>
    <row r="151" spans="17:17" s="17" customFormat="1" x14ac:dyDescent="0.25">
      <c r="Q151" s="55"/>
    </row>
    <row r="152" spans="17:17" s="17" customFormat="1" x14ac:dyDescent="0.25">
      <c r="Q152" s="55"/>
    </row>
    <row r="153" spans="17:17" s="17" customFormat="1" x14ac:dyDescent="0.25">
      <c r="Q153" s="55"/>
    </row>
    <row r="154" spans="17:17" s="17" customFormat="1" x14ac:dyDescent="0.25">
      <c r="Q154" s="55"/>
    </row>
    <row r="155" spans="17:17" s="17" customFormat="1" x14ac:dyDescent="0.25">
      <c r="Q155" s="55"/>
    </row>
    <row r="156" spans="17:17" s="17" customFormat="1" x14ac:dyDescent="0.25">
      <c r="Q156" s="55"/>
    </row>
    <row r="157" spans="17:17" s="17" customFormat="1" x14ac:dyDescent="0.25">
      <c r="Q157" s="55"/>
    </row>
    <row r="158" spans="17:17" s="17" customFormat="1" x14ac:dyDescent="0.25">
      <c r="Q158" s="55"/>
    </row>
    <row r="159" spans="17:17" s="17" customFormat="1" x14ac:dyDescent="0.25">
      <c r="Q159" s="55"/>
    </row>
    <row r="160" spans="17:17" s="17" customFormat="1" x14ac:dyDescent="0.25">
      <c r="Q160" s="55"/>
    </row>
    <row r="161" spans="17:17" s="17" customFormat="1" x14ac:dyDescent="0.25">
      <c r="Q161" s="55"/>
    </row>
    <row r="162" spans="17:17" s="17" customFormat="1" x14ac:dyDescent="0.25">
      <c r="Q162" s="55"/>
    </row>
    <row r="163" spans="17:17" s="17" customFormat="1" x14ac:dyDescent="0.25">
      <c r="Q163" s="55"/>
    </row>
    <row r="164" spans="17:17" s="17" customFormat="1" x14ac:dyDescent="0.25">
      <c r="Q164" s="55"/>
    </row>
    <row r="165" spans="17:17" s="17" customFormat="1" x14ac:dyDescent="0.25">
      <c r="Q165" s="55"/>
    </row>
  </sheetData>
  <sheetProtection algorithmName="SHA-512" hashValue="mAfih7tlwBh7njtBoMLczjdx0Dl6iGvdDiwANBa1ZLRFP4NAj8U8VhG6nqQsevK9HrOFWWj+gR2j3rfqb7EDng==" saltValue="9uq9iLAtWUSok0RAJnOblg==" spinCount="100000" sheet="1" selectLockedCells="1"/>
  <mergeCells count="131">
    <mergeCell ref="G23:J24"/>
    <mergeCell ref="BU59:BV59"/>
    <mergeCell ref="BU66:BV66"/>
    <mergeCell ref="BB59:BC59"/>
    <mergeCell ref="BB66:BC66"/>
    <mergeCell ref="BM52:BN52"/>
    <mergeCell ref="BM59:BN59"/>
    <mergeCell ref="BM66:BN66"/>
    <mergeCell ref="BQ52:BR52"/>
    <mergeCell ref="BQ59:BR59"/>
    <mergeCell ref="BQ66:BR66"/>
    <mergeCell ref="BU65:BV65"/>
    <mergeCell ref="BU58:BV58"/>
    <mergeCell ref="BQ51:BR51"/>
    <mergeCell ref="BU51:BV51"/>
    <mergeCell ref="BH52:BI52"/>
    <mergeCell ref="BU52:BV52"/>
    <mergeCell ref="AX51:AY51"/>
    <mergeCell ref="AM54:AM56"/>
    <mergeCell ref="AR54:AR56"/>
    <mergeCell ref="AT51:AU51"/>
    <mergeCell ref="AV54:AV56"/>
    <mergeCell ref="BQ65:BR65"/>
    <mergeCell ref="BH66:BI66"/>
    <mergeCell ref="BF61:BF63"/>
    <mergeCell ref="BK61:BK63"/>
    <mergeCell ref="BO61:BO63"/>
    <mergeCell ref="BS61:BS63"/>
    <mergeCell ref="BO54:BO56"/>
    <mergeCell ref="BS54:BS56"/>
    <mergeCell ref="BH58:BI58"/>
    <mergeCell ref="BM58:BN58"/>
    <mergeCell ref="BQ58:BR58"/>
    <mergeCell ref="BH51:BI51"/>
    <mergeCell ref="BM51:BN51"/>
    <mergeCell ref="BF54:BF56"/>
    <mergeCell ref="BK54:BK56"/>
    <mergeCell ref="BH59:BI59"/>
    <mergeCell ref="AO65:AP65"/>
    <mergeCell ref="AT65:AU65"/>
    <mergeCell ref="AX65:AY65"/>
    <mergeCell ref="BB65:BC65"/>
    <mergeCell ref="AT52:AU52"/>
    <mergeCell ref="AT59:AU59"/>
    <mergeCell ref="AX52:AY52"/>
    <mergeCell ref="AX59:AY59"/>
    <mergeCell ref="BH65:BI65"/>
    <mergeCell ref="BM65:BN65"/>
    <mergeCell ref="AZ54:AZ56"/>
    <mergeCell ref="AO52:AP52"/>
    <mergeCell ref="AO51:AP51"/>
    <mergeCell ref="AO59:AP59"/>
    <mergeCell ref="AR61:AR63"/>
    <mergeCell ref="AV61:AV63"/>
    <mergeCell ref="AZ61:AZ63"/>
    <mergeCell ref="BB51:BC51"/>
    <mergeCell ref="AT58:AU58"/>
    <mergeCell ref="AX58:AY58"/>
    <mergeCell ref="BB58:BC58"/>
    <mergeCell ref="BB52:BC52"/>
    <mergeCell ref="AO58:AP58"/>
    <mergeCell ref="BK68:BK70"/>
    <mergeCell ref="BK81:BK86"/>
    <mergeCell ref="BM78:BN78"/>
    <mergeCell ref="BM79:BN79"/>
    <mergeCell ref="BP81:BP86"/>
    <mergeCell ref="AZ68:AZ70"/>
    <mergeCell ref="BF68:BF70"/>
    <mergeCell ref="BR78:BS78"/>
    <mergeCell ref="BR79:BS79"/>
    <mergeCell ref="BA81:BA86"/>
    <mergeCell ref="BC78:BD78"/>
    <mergeCell ref="BC79:BD79"/>
    <mergeCell ref="BF81:BF86"/>
    <mergeCell ref="BH78:BI78"/>
    <mergeCell ref="BH79:BI79"/>
    <mergeCell ref="BO68:BO70"/>
    <mergeCell ref="BS68:BS70"/>
    <mergeCell ref="B78:B80"/>
    <mergeCell ref="C78:C80"/>
    <mergeCell ref="B81:B83"/>
    <mergeCell ref="C81:C83"/>
    <mergeCell ref="AH79:AI79"/>
    <mergeCell ref="AJ79:AK79"/>
    <mergeCell ref="AL79:AM79"/>
    <mergeCell ref="AN79:AO79"/>
    <mergeCell ref="AB81:AB86"/>
    <mergeCell ref="AB77:AC80"/>
    <mergeCell ref="AD77:AO77"/>
    <mergeCell ref="AD78:AE78"/>
    <mergeCell ref="AF78:AG78"/>
    <mergeCell ref="AH78:AI78"/>
    <mergeCell ref="AJ78:AK78"/>
    <mergeCell ref="AL78:AM78"/>
    <mergeCell ref="AN78:AO78"/>
    <mergeCell ref="AD79:AE79"/>
    <mergeCell ref="AM68:AM70"/>
    <mergeCell ref="AM61:AM63"/>
    <mergeCell ref="AQ81:AQ86"/>
    <mergeCell ref="AS79:AT79"/>
    <mergeCell ref="AS78:AT78"/>
    <mergeCell ref="AV81:AV86"/>
    <mergeCell ref="AX78:AY78"/>
    <mergeCell ref="AX79:AY79"/>
    <mergeCell ref="AR68:AR70"/>
    <mergeCell ref="AV68:AV70"/>
    <mergeCell ref="AO66:AP66"/>
    <mergeCell ref="AT66:AU66"/>
    <mergeCell ref="AX66:AY66"/>
    <mergeCell ref="AB92:AB106"/>
    <mergeCell ref="AB52:AB53"/>
    <mergeCell ref="AC52:AC53"/>
    <mergeCell ref="AD52:AE52"/>
    <mergeCell ref="AF52:AG52"/>
    <mergeCell ref="AH52:AI52"/>
    <mergeCell ref="AJ52:AK52"/>
    <mergeCell ref="P28:P30"/>
    <mergeCell ref="AB50:AC51"/>
    <mergeCell ref="AD50:AK50"/>
    <mergeCell ref="AD51:AE51"/>
    <mergeCell ref="AF51:AG51"/>
    <mergeCell ref="AH51:AI51"/>
    <mergeCell ref="AJ51:AK51"/>
    <mergeCell ref="AD90:AJ90"/>
    <mergeCell ref="AF79:AG79"/>
    <mergeCell ref="AB54:AB56"/>
    <mergeCell ref="AB57:AB59"/>
    <mergeCell ref="AB60:AB62"/>
    <mergeCell ref="AB63:AB65"/>
    <mergeCell ref="AB66:AB68"/>
    <mergeCell ref="AB69:AB71"/>
  </mergeCells>
  <dataValidations count="11">
    <dataValidation type="list" allowBlank="1" showInputMessage="1" showErrorMessage="1" sqref="B8" xr:uid="{00000000-0002-0000-0000-000000000000}">
      <formula1>$B$52:$B$56</formula1>
    </dataValidation>
    <dataValidation type="list" allowBlank="1" showInputMessage="1" showErrorMessage="1" sqref="B11" xr:uid="{00000000-0002-0000-0000-000001000000}">
      <formula1>$B$60:$B$62</formula1>
    </dataValidation>
    <dataValidation type="list" allowBlank="1" showInputMessage="1" showErrorMessage="1" sqref="B14" xr:uid="{00000000-0002-0000-0000-000002000000}">
      <formula1>$B$65:$B$69</formula1>
    </dataValidation>
    <dataValidation type="list" allowBlank="1" showInputMessage="1" showErrorMessage="1" sqref="B17" xr:uid="{00000000-0002-0000-0000-000003000000}">
      <formula1>$B$73:$B$74</formula1>
    </dataValidation>
    <dataValidation type="list" allowBlank="1" showInputMessage="1" showErrorMessage="1" sqref="B20 P20" xr:uid="{00000000-0002-0000-0000-000004000000}">
      <formula1>$B$78:$B$83</formula1>
    </dataValidation>
    <dataValidation type="list" allowBlank="1" showInputMessage="1" showErrorMessage="1" sqref="B23 P23" xr:uid="{00000000-0002-0000-0000-000005000000}">
      <formula1>$B$108:$B$111</formula1>
    </dataValidation>
    <dataValidation type="list" allowBlank="1" showInputMessage="1" showErrorMessage="1" sqref="P8" xr:uid="{00000000-0002-0000-0000-000006000000}">
      <formula1>$B$88:$B$91</formula1>
    </dataValidation>
    <dataValidation type="list" allowBlank="1" showInputMessage="1" showErrorMessage="1" sqref="P11" xr:uid="{00000000-0002-0000-0000-000007000000}">
      <formula1>$B$96:$B$99</formula1>
    </dataValidation>
    <dataValidation type="list" allowBlank="1" showInputMessage="1" showErrorMessage="1" sqref="P14" xr:uid="{00000000-0002-0000-0000-000008000000}">
      <formula1>$B$103:$B$104</formula1>
    </dataValidation>
    <dataValidation type="list" allowBlank="1" showInputMessage="1" showErrorMessage="1" sqref="E8 G8 E11 E14 R8 T8 R11 T11" xr:uid="{00000000-0002-0000-0000-000009000000}">
      <formula1>$B$114:$B$115</formula1>
    </dataValidation>
    <dataValidation type="list" allowBlank="1" showInputMessage="1" showErrorMessage="1" sqref="I8" xr:uid="{00000000-0002-0000-0000-00000A000000}">
      <formula1>$B$118:$B$119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F152"/>
  <sheetViews>
    <sheetView topLeftCell="A3" workbookViewId="0">
      <selection activeCell="R37" sqref="R37"/>
    </sheetView>
  </sheetViews>
  <sheetFormatPr defaultRowHeight="15" x14ac:dyDescent="0.25"/>
  <cols>
    <col min="1" max="1" width="3.28515625" customWidth="1"/>
    <col min="4" max="11" width="6.7109375" customWidth="1"/>
    <col min="13" max="32" width="9.140625" style="1"/>
  </cols>
  <sheetData>
    <row r="1" spans="1:12" s="1" customFormat="1" ht="54.75" customHeight="1" x14ac:dyDescent="0.25"/>
    <row r="2" spans="1:12" s="2" customFormat="1" ht="50.25" customHeight="1" x14ac:dyDescent="0.25">
      <c r="B2" s="3" t="s">
        <v>28</v>
      </c>
    </row>
    <row r="3" spans="1:12" s="1" customFormat="1" ht="16.5" customHeight="1" x14ac:dyDescent="0.25">
      <c r="B3" s="5"/>
    </row>
    <row r="4" spans="1:12" s="1" customFormat="1" ht="13.5" customHeight="1" x14ac:dyDescent="0.25"/>
    <row r="5" spans="1:12" ht="27.75" customHeight="1" x14ac:dyDescent="0.25">
      <c r="A5" s="1"/>
      <c r="B5" s="98" t="s">
        <v>21</v>
      </c>
      <c r="C5" s="99"/>
      <c r="D5" s="87" t="s">
        <v>20</v>
      </c>
      <c r="E5" s="87"/>
      <c r="F5" s="87"/>
      <c r="G5" s="87"/>
      <c r="H5" s="87"/>
      <c r="I5" s="87"/>
      <c r="J5" s="87"/>
      <c r="K5" s="87"/>
      <c r="L5" s="1"/>
    </row>
    <row r="6" spans="1:12" ht="23.25" customHeight="1" x14ac:dyDescent="0.25">
      <c r="A6" s="1"/>
      <c r="B6" s="100"/>
      <c r="C6" s="101"/>
      <c r="D6" s="87">
        <v>1</v>
      </c>
      <c r="E6" s="87"/>
      <c r="F6" s="87">
        <v>2</v>
      </c>
      <c r="G6" s="87"/>
      <c r="H6" s="87">
        <v>3</v>
      </c>
      <c r="I6" s="87"/>
      <c r="J6" s="87">
        <v>4</v>
      </c>
      <c r="K6" s="87"/>
      <c r="L6" s="1"/>
    </row>
    <row r="7" spans="1:12" ht="30" customHeight="1" x14ac:dyDescent="0.25">
      <c r="A7" s="1"/>
      <c r="B7" s="102" t="s">
        <v>2</v>
      </c>
      <c r="C7" s="104" t="s">
        <v>3</v>
      </c>
      <c r="D7" s="91" t="s">
        <v>8</v>
      </c>
      <c r="E7" s="91"/>
      <c r="F7" s="91" t="s">
        <v>8</v>
      </c>
      <c r="G7" s="91"/>
      <c r="H7" s="91" t="s">
        <v>8</v>
      </c>
      <c r="I7" s="91"/>
      <c r="J7" s="91" t="s">
        <v>8</v>
      </c>
      <c r="K7" s="91"/>
      <c r="L7" s="1"/>
    </row>
    <row r="8" spans="1:12" ht="18" customHeight="1" x14ac:dyDescent="0.25">
      <c r="A8" s="1"/>
      <c r="B8" s="103"/>
      <c r="C8" s="105"/>
      <c r="D8" s="6">
        <v>1</v>
      </c>
      <c r="E8" s="6">
        <v>2</v>
      </c>
      <c r="F8" s="6">
        <v>1</v>
      </c>
      <c r="G8" s="6">
        <v>2</v>
      </c>
      <c r="H8" s="6">
        <v>1</v>
      </c>
      <c r="I8" s="6">
        <v>2</v>
      </c>
      <c r="J8" s="6">
        <v>1</v>
      </c>
      <c r="K8" s="6">
        <v>2</v>
      </c>
      <c r="L8" s="1"/>
    </row>
    <row r="9" spans="1:12" ht="18" customHeight="1" x14ac:dyDescent="0.25">
      <c r="A9" s="1"/>
      <c r="B9" s="88">
        <v>1</v>
      </c>
      <c r="C9" s="7">
        <v>1</v>
      </c>
      <c r="D9" s="8">
        <v>1</v>
      </c>
      <c r="E9" s="8">
        <v>2</v>
      </c>
      <c r="F9" s="8">
        <v>2</v>
      </c>
      <c r="G9" s="8">
        <v>2</v>
      </c>
      <c r="H9" s="8">
        <v>2</v>
      </c>
      <c r="I9" s="8">
        <v>3</v>
      </c>
      <c r="J9" s="8">
        <v>3</v>
      </c>
      <c r="K9" s="8">
        <v>3</v>
      </c>
      <c r="L9" s="4"/>
    </row>
    <row r="10" spans="1:12" ht="18" customHeight="1" x14ac:dyDescent="0.25">
      <c r="A10" s="1"/>
      <c r="B10" s="89"/>
      <c r="C10" s="7">
        <v>2</v>
      </c>
      <c r="D10" s="8">
        <v>2</v>
      </c>
      <c r="E10" s="8">
        <v>2</v>
      </c>
      <c r="F10" s="8">
        <v>2</v>
      </c>
      <c r="G10" s="8">
        <v>2</v>
      </c>
      <c r="H10" s="8">
        <v>3</v>
      </c>
      <c r="I10" s="8">
        <v>3</v>
      </c>
      <c r="J10" s="8">
        <v>3</v>
      </c>
      <c r="K10" s="8">
        <v>3</v>
      </c>
      <c r="L10" s="4"/>
    </row>
    <row r="11" spans="1:12" ht="18" customHeight="1" x14ac:dyDescent="0.25">
      <c r="A11" s="1"/>
      <c r="B11" s="90"/>
      <c r="C11" s="7">
        <v>3</v>
      </c>
      <c r="D11" s="8">
        <v>2</v>
      </c>
      <c r="E11" s="8">
        <v>3</v>
      </c>
      <c r="F11" s="8">
        <v>3</v>
      </c>
      <c r="G11" s="8">
        <v>3</v>
      </c>
      <c r="H11" s="8">
        <v>3</v>
      </c>
      <c r="I11" s="8">
        <v>3</v>
      </c>
      <c r="J11" s="8">
        <v>4</v>
      </c>
      <c r="K11" s="8">
        <v>4</v>
      </c>
      <c r="L11" s="4"/>
    </row>
    <row r="12" spans="1:12" ht="18" customHeight="1" x14ac:dyDescent="0.25">
      <c r="A12" s="1"/>
      <c r="B12" s="88">
        <v>2</v>
      </c>
      <c r="C12" s="7">
        <v>1</v>
      </c>
      <c r="D12" s="8">
        <v>2</v>
      </c>
      <c r="E12" s="8">
        <v>3</v>
      </c>
      <c r="F12" s="8">
        <v>3</v>
      </c>
      <c r="G12" s="8">
        <v>3</v>
      </c>
      <c r="H12" s="8">
        <v>3</v>
      </c>
      <c r="I12" s="8">
        <v>4</v>
      </c>
      <c r="J12" s="8">
        <v>4</v>
      </c>
      <c r="K12" s="8">
        <v>4</v>
      </c>
      <c r="L12" s="4"/>
    </row>
    <row r="13" spans="1:12" ht="18" customHeight="1" x14ac:dyDescent="0.25">
      <c r="A13" s="1"/>
      <c r="B13" s="89"/>
      <c r="C13" s="7">
        <v>2</v>
      </c>
      <c r="D13" s="8">
        <v>3</v>
      </c>
      <c r="E13" s="8">
        <v>3</v>
      </c>
      <c r="F13" s="8">
        <v>3</v>
      </c>
      <c r="G13" s="8">
        <v>3</v>
      </c>
      <c r="H13" s="8">
        <v>3</v>
      </c>
      <c r="I13" s="8">
        <v>4</v>
      </c>
      <c r="J13" s="8">
        <v>4</v>
      </c>
      <c r="K13" s="8">
        <v>4</v>
      </c>
      <c r="L13" s="4"/>
    </row>
    <row r="14" spans="1:12" ht="18" customHeight="1" x14ac:dyDescent="0.25">
      <c r="A14" s="1"/>
      <c r="B14" s="90"/>
      <c r="C14" s="7">
        <v>3</v>
      </c>
      <c r="D14" s="8">
        <v>3</v>
      </c>
      <c r="E14" s="8">
        <v>4</v>
      </c>
      <c r="F14" s="8">
        <v>4</v>
      </c>
      <c r="G14" s="8">
        <v>4</v>
      </c>
      <c r="H14" s="8">
        <v>4</v>
      </c>
      <c r="I14" s="8">
        <v>4</v>
      </c>
      <c r="J14" s="8">
        <v>5</v>
      </c>
      <c r="K14" s="8">
        <v>5</v>
      </c>
      <c r="L14" s="4"/>
    </row>
    <row r="15" spans="1:12" ht="18" customHeight="1" x14ac:dyDescent="0.25">
      <c r="A15" s="1"/>
      <c r="B15" s="88">
        <v>3</v>
      </c>
      <c r="C15" s="7">
        <v>1</v>
      </c>
      <c r="D15" s="8">
        <v>3</v>
      </c>
      <c r="E15" s="8">
        <v>3</v>
      </c>
      <c r="F15" s="8">
        <v>4</v>
      </c>
      <c r="G15" s="8">
        <v>4</v>
      </c>
      <c r="H15" s="8">
        <v>4</v>
      </c>
      <c r="I15" s="8">
        <v>4</v>
      </c>
      <c r="J15" s="8">
        <v>5</v>
      </c>
      <c r="K15" s="8">
        <v>5</v>
      </c>
      <c r="L15" s="4"/>
    </row>
    <row r="16" spans="1:12" ht="18" customHeight="1" x14ac:dyDescent="0.25">
      <c r="A16" s="1"/>
      <c r="B16" s="89"/>
      <c r="C16" s="7">
        <v>2</v>
      </c>
      <c r="D16" s="8">
        <v>3</v>
      </c>
      <c r="E16" s="8">
        <v>4</v>
      </c>
      <c r="F16" s="8">
        <v>4</v>
      </c>
      <c r="G16" s="8">
        <v>4</v>
      </c>
      <c r="H16" s="8">
        <v>4</v>
      </c>
      <c r="I16" s="8">
        <v>4</v>
      </c>
      <c r="J16" s="8">
        <v>5</v>
      </c>
      <c r="K16" s="8">
        <v>5</v>
      </c>
      <c r="L16" s="4"/>
    </row>
    <row r="17" spans="1:15" ht="18" customHeight="1" x14ac:dyDescent="0.25">
      <c r="A17" s="1"/>
      <c r="B17" s="90"/>
      <c r="C17" s="7">
        <v>3</v>
      </c>
      <c r="D17" s="8">
        <v>4</v>
      </c>
      <c r="E17" s="8">
        <v>4</v>
      </c>
      <c r="F17" s="8">
        <v>4</v>
      </c>
      <c r="G17" s="8">
        <v>4</v>
      </c>
      <c r="H17" s="8">
        <v>4</v>
      </c>
      <c r="I17" s="8">
        <v>5</v>
      </c>
      <c r="J17" s="8">
        <v>5</v>
      </c>
      <c r="K17" s="8">
        <v>5</v>
      </c>
      <c r="L17" s="4"/>
    </row>
    <row r="18" spans="1:15" ht="18" customHeight="1" x14ac:dyDescent="0.25">
      <c r="A18" s="1"/>
      <c r="B18" s="88">
        <v>4</v>
      </c>
      <c r="C18" s="7">
        <v>1</v>
      </c>
      <c r="D18" s="8">
        <v>4</v>
      </c>
      <c r="E18" s="8">
        <v>4</v>
      </c>
      <c r="F18" s="8">
        <v>4</v>
      </c>
      <c r="G18" s="8">
        <v>4</v>
      </c>
      <c r="H18" s="8">
        <v>4</v>
      </c>
      <c r="I18" s="8">
        <v>5</v>
      </c>
      <c r="J18" s="8">
        <v>5</v>
      </c>
      <c r="K18" s="8">
        <v>5</v>
      </c>
      <c r="L18" s="4"/>
    </row>
    <row r="19" spans="1:15" ht="18" customHeight="1" x14ac:dyDescent="0.25">
      <c r="A19" s="1"/>
      <c r="B19" s="89"/>
      <c r="C19" s="7">
        <v>2</v>
      </c>
      <c r="D19" s="8">
        <v>4</v>
      </c>
      <c r="E19" s="8">
        <v>4</v>
      </c>
      <c r="F19" s="8">
        <v>4</v>
      </c>
      <c r="G19" s="8">
        <v>4</v>
      </c>
      <c r="H19" s="8">
        <v>4</v>
      </c>
      <c r="I19" s="8">
        <v>5</v>
      </c>
      <c r="J19" s="8">
        <v>5</v>
      </c>
      <c r="K19" s="8">
        <v>5</v>
      </c>
      <c r="L19" s="4"/>
    </row>
    <row r="20" spans="1:15" ht="18" customHeight="1" x14ac:dyDescent="0.25">
      <c r="A20" s="1"/>
      <c r="B20" s="90"/>
      <c r="C20" s="7">
        <v>3</v>
      </c>
      <c r="D20" s="8">
        <v>4</v>
      </c>
      <c r="E20" s="8">
        <v>4</v>
      </c>
      <c r="F20" s="8">
        <v>4</v>
      </c>
      <c r="G20" s="8">
        <v>5</v>
      </c>
      <c r="H20" s="8">
        <v>5</v>
      </c>
      <c r="I20" s="8">
        <v>5</v>
      </c>
      <c r="J20" s="8">
        <v>6</v>
      </c>
      <c r="K20" s="8">
        <v>6</v>
      </c>
      <c r="L20" s="4"/>
    </row>
    <row r="21" spans="1:15" ht="18" customHeight="1" x14ac:dyDescent="0.25">
      <c r="A21" s="1"/>
      <c r="B21" s="88">
        <v>5</v>
      </c>
      <c r="C21" s="7">
        <v>1</v>
      </c>
      <c r="D21" s="8">
        <v>5</v>
      </c>
      <c r="E21" s="8">
        <v>5</v>
      </c>
      <c r="F21" s="8">
        <v>5</v>
      </c>
      <c r="G21" s="8">
        <v>5</v>
      </c>
      <c r="H21" s="8">
        <v>5</v>
      </c>
      <c r="I21" s="8">
        <v>6</v>
      </c>
      <c r="J21" s="8">
        <v>6</v>
      </c>
      <c r="K21" s="8">
        <v>7</v>
      </c>
      <c r="L21" s="4"/>
    </row>
    <row r="22" spans="1:15" ht="18" customHeight="1" x14ac:dyDescent="0.25">
      <c r="A22" s="1"/>
      <c r="B22" s="89"/>
      <c r="C22" s="7">
        <v>2</v>
      </c>
      <c r="D22" s="8">
        <v>5</v>
      </c>
      <c r="E22" s="8">
        <v>6</v>
      </c>
      <c r="F22" s="8">
        <v>6</v>
      </c>
      <c r="G22" s="8">
        <v>6</v>
      </c>
      <c r="H22" s="8">
        <v>6</v>
      </c>
      <c r="I22" s="8">
        <v>7</v>
      </c>
      <c r="J22" s="8">
        <v>7</v>
      </c>
      <c r="K22" s="8">
        <v>7</v>
      </c>
      <c r="L22" s="4"/>
    </row>
    <row r="23" spans="1:15" ht="18" customHeight="1" x14ac:dyDescent="0.25">
      <c r="A23" s="1"/>
      <c r="B23" s="90"/>
      <c r="C23" s="7">
        <v>3</v>
      </c>
      <c r="D23" s="8">
        <v>6</v>
      </c>
      <c r="E23" s="8">
        <v>6</v>
      </c>
      <c r="F23" s="8">
        <v>6</v>
      </c>
      <c r="G23" s="8">
        <v>7</v>
      </c>
      <c r="H23" s="8">
        <v>7</v>
      </c>
      <c r="I23" s="8">
        <v>7</v>
      </c>
      <c r="J23" s="8">
        <v>7</v>
      </c>
      <c r="K23" s="8">
        <v>8</v>
      </c>
      <c r="L23" s="4"/>
    </row>
    <row r="24" spans="1:15" ht="18" customHeight="1" x14ac:dyDescent="0.25">
      <c r="A24" s="1"/>
      <c r="B24" s="88">
        <v>6</v>
      </c>
      <c r="C24" s="7">
        <v>1</v>
      </c>
      <c r="D24" s="8">
        <v>7</v>
      </c>
      <c r="E24" s="8">
        <v>7</v>
      </c>
      <c r="F24" s="8">
        <v>7</v>
      </c>
      <c r="G24" s="8">
        <v>7</v>
      </c>
      <c r="H24" s="8">
        <v>7</v>
      </c>
      <c r="I24" s="8">
        <v>8</v>
      </c>
      <c r="J24" s="8">
        <v>8</v>
      </c>
      <c r="K24" s="8">
        <v>9</v>
      </c>
      <c r="L24" s="4"/>
    </row>
    <row r="25" spans="1:15" ht="18" customHeight="1" x14ac:dyDescent="0.25">
      <c r="A25" s="1"/>
      <c r="B25" s="89"/>
      <c r="C25" s="7">
        <v>2</v>
      </c>
      <c r="D25" s="8">
        <v>8</v>
      </c>
      <c r="E25" s="8">
        <v>8</v>
      </c>
      <c r="F25" s="8">
        <v>8</v>
      </c>
      <c r="G25" s="8">
        <v>8</v>
      </c>
      <c r="H25" s="8">
        <v>8</v>
      </c>
      <c r="I25" s="8">
        <v>9</v>
      </c>
      <c r="J25" s="8">
        <v>9</v>
      </c>
      <c r="K25" s="8">
        <v>9</v>
      </c>
      <c r="L25" s="4"/>
    </row>
    <row r="26" spans="1:15" ht="18" customHeight="1" x14ac:dyDescent="0.25">
      <c r="A26" s="1"/>
      <c r="B26" s="90"/>
      <c r="C26" s="7">
        <v>3</v>
      </c>
      <c r="D26" s="8">
        <v>9</v>
      </c>
      <c r="E26" s="8">
        <v>9</v>
      </c>
      <c r="F26" s="8">
        <v>9</v>
      </c>
      <c r="G26" s="8">
        <v>9</v>
      </c>
      <c r="H26" s="8">
        <v>9</v>
      </c>
      <c r="I26" s="8">
        <v>9</v>
      </c>
      <c r="J26" s="8">
        <v>9</v>
      </c>
      <c r="K26" s="8">
        <v>9</v>
      </c>
      <c r="L26" s="4"/>
    </row>
    <row r="27" spans="1:15" s="1" customForma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spans="1:15" s="1" customFormat="1" ht="33.75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spans="1:15" s="1" customFormat="1" ht="6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</row>
    <row r="30" spans="1:15" s="1" customFormat="1" ht="27" customHeight="1" x14ac:dyDescent="0.25">
      <c r="B30" s="96" t="s">
        <v>27</v>
      </c>
      <c r="C30" s="96"/>
      <c r="D30" s="94" t="s">
        <v>26</v>
      </c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</row>
    <row r="31" spans="1:15" s="1" customFormat="1" ht="18" customHeight="1" x14ac:dyDescent="0.25">
      <c r="B31" s="96"/>
      <c r="C31" s="96"/>
      <c r="D31" s="94">
        <v>1</v>
      </c>
      <c r="E31" s="94"/>
      <c r="F31" s="94">
        <v>2</v>
      </c>
      <c r="G31" s="94"/>
      <c r="H31" s="94">
        <v>3</v>
      </c>
      <c r="I31" s="94"/>
      <c r="J31" s="94">
        <v>4</v>
      </c>
      <c r="K31" s="94"/>
      <c r="L31" s="94">
        <v>5</v>
      </c>
      <c r="M31" s="94"/>
      <c r="N31" s="94">
        <v>6</v>
      </c>
      <c r="O31" s="94"/>
    </row>
    <row r="32" spans="1:15" s="1" customFormat="1" ht="18" customHeight="1" x14ac:dyDescent="0.25">
      <c r="B32" s="96"/>
      <c r="C32" s="96"/>
      <c r="D32" s="97" t="s">
        <v>16</v>
      </c>
      <c r="E32" s="97"/>
      <c r="F32" s="97" t="s">
        <v>16</v>
      </c>
      <c r="G32" s="97"/>
      <c r="H32" s="97" t="s">
        <v>16</v>
      </c>
      <c r="I32" s="97"/>
      <c r="J32" s="97" t="s">
        <v>16</v>
      </c>
      <c r="K32" s="97"/>
      <c r="L32" s="97" t="s">
        <v>16</v>
      </c>
      <c r="M32" s="97"/>
      <c r="N32" s="97" t="s">
        <v>16</v>
      </c>
      <c r="O32" s="97"/>
    </row>
    <row r="33" spans="2:15" s="1" customFormat="1" ht="18" customHeight="1" x14ac:dyDescent="0.25">
      <c r="B33" s="96"/>
      <c r="C33" s="96"/>
      <c r="D33" s="12">
        <v>1</v>
      </c>
      <c r="E33" s="12">
        <v>2</v>
      </c>
      <c r="F33" s="12">
        <v>1</v>
      </c>
      <c r="G33" s="12">
        <v>2</v>
      </c>
      <c r="H33" s="12">
        <v>1</v>
      </c>
      <c r="I33" s="12">
        <v>2</v>
      </c>
      <c r="J33" s="12">
        <v>1</v>
      </c>
      <c r="K33" s="12">
        <v>2</v>
      </c>
      <c r="L33" s="12">
        <v>1</v>
      </c>
      <c r="M33" s="12">
        <v>2</v>
      </c>
      <c r="N33" s="12">
        <v>1</v>
      </c>
      <c r="O33" s="12">
        <v>2</v>
      </c>
    </row>
    <row r="34" spans="2:15" s="1" customFormat="1" ht="18" customHeight="1" x14ac:dyDescent="0.25">
      <c r="B34" s="95" t="s">
        <v>19</v>
      </c>
      <c r="C34" s="13">
        <v>1</v>
      </c>
      <c r="D34" s="11">
        <v>1</v>
      </c>
      <c r="E34" s="11">
        <v>3</v>
      </c>
      <c r="F34" s="11">
        <v>2</v>
      </c>
      <c r="G34" s="11">
        <v>3</v>
      </c>
      <c r="H34" s="11">
        <v>3</v>
      </c>
      <c r="I34" s="11">
        <v>4</v>
      </c>
      <c r="J34" s="11">
        <v>5</v>
      </c>
      <c r="K34" s="11">
        <v>5</v>
      </c>
      <c r="L34" s="11">
        <v>6</v>
      </c>
      <c r="M34" s="11">
        <v>6</v>
      </c>
      <c r="N34" s="11">
        <v>7</v>
      </c>
      <c r="O34" s="11">
        <v>7</v>
      </c>
    </row>
    <row r="35" spans="2:15" s="1" customFormat="1" ht="18" customHeight="1" x14ac:dyDescent="0.25">
      <c r="B35" s="95"/>
      <c r="C35" s="13">
        <v>2</v>
      </c>
      <c r="D35" s="11">
        <v>2</v>
      </c>
      <c r="E35" s="11">
        <v>3</v>
      </c>
      <c r="F35" s="11">
        <v>2</v>
      </c>
      <c r="G35" s="11">
        <v>3</v>
      </c>
      <c r="H35" s="11">
        <v>4</v>
      </c>
      <c r="I35" s="11">
        <v>5</v>
      </c>
      <c r="J35" s="11">
        <v>5</v>
      </c>
      <c r="K35" s="11">
        <v>5</v>
      </c>
      <c r="L35" s="11">
        <v>6</v>
      </c>
      <c r="M35" s="11">
        <v>7</v>
      </c>
      <c r="N35" s="11">
        <v>7</v>
      </c>
      <c r="O35" s="11">
        <v>7</v>
      </c>
    </row>
    <row r="36" spans="2:15" s="1" customFormat="1" ht="18" customHeight="1" x14ac:dyDescent="0.25">
      <c r="B36" s="95"/>
      <c r="C36" s="13">
        <v>3</v>
      </c>
      <c r="D36" s="11">
        <v>3</v>
      </c>
      <c r="E36" s="11">
        <v>3</v>
      </c>
      <c r="F36" s="11">
        <v>3</v>
      </c>
      <c r="G36" s="11">
        <v>4</v>
      </c>
      <c r="H36" s="11">
        <v>4</v>
      </c>
      <c r="I36" s="11">
        <v>5</v>
      </c>
      <c r="J36" s="11">
        <v>5</v>
      </c>
      <c r="K36" s="11">
        <v>6</v>
      </c>
      <c r="L36" s="11">
        <v>6</v>
      </c>
      <c r="M36" s="11">
        <v>7</v>
      </c>
      <c r="N36" s="11">
        <v>7</v>
      </c>
      <c r="O36" s="11">
        <v>7</v>
      </c>
    </row>
    <row r="37" spans="2:15" s="1" customFormat="1" ht="18" customHeight="1" x14ac:dyDescent="0.25">
      <c r="B37" s="95"/>
      <c r="C37" s="13">
        <v>4</v>
      </c>
      <c r="D37" s="11">
        <v>5</v>
      </c>
      <c r="E37" s="11">
        <v>5</v>
      </c>
      <c r="F37" s="11">
        <v>5</v>
      </c>
      <c r="G37" s="11">
        <v>6</v>
      </c>
      <c r="H37" s="11">
        <v>6</v>
      </c>
      <c r="I37" s="11">
        <v>7</v>
      </c>
      <c r="J37" s="11">
        <v>7</v>
      </c>
      <c r="K37" s="11">
        <v>7</v>
      </c>
      <c r="L37" s="11">
        <v>7</v>
      </c>
      <c r="M37" s="11">
        <v>7</v>
      </c>
      <c r="N37" s="11">
        <v>8</v>
      </c>
      <c r="O37" s="11">
        <v>8</v>
      </c>
    </row>
    <row r="38" spans="2:15" s="1" customFormat="1" ht="18" customHeight="1" x14ac:dyDescent="0.25">
      <c r="B38" s="95"/>
      <c r="C38" s="13">
        <v>5</v>
      </c>
      <c r="D38" s="11">
        <v>7</v>
      </c>
      <c r="E38" s="11">
        <v>7</v>
      </c>
      <c r="F38" s="11">
        <v>7</v>
      </c>
      <c r="G38" s="11">
        <v>7</v>
      </c>
      <c r="H38" s="11">
        <v>7</v>
      </c>
      <c r="I38" s="11">
        <v>8</v>
      </c>
      <c r="J38" s="11">
        <v>8</v>
      </c>
      <c r="K38" s="11">
        <v>8</v>
      </c>
      <c r="L38" s="11">
        <v>8</v>
      </c>
      <c r="M38" s="11">
        <v>8</v>
      </c>
      <c r="N38" s="11">
        <v>8</v>
      </c>
      <c r="O38" s="11">
        <v>8</v>
      </c>
    </row>
    <row r="39" spans="2:15" s="1" customFormat="1" ht="18" customHeight="1" x14ac:dyDescent="0.25">
      <c r="B39" s="95"/>
      <c r="C39" s="13">
        <v>6</v>
      </c>
      <c r="D39" s="11">
        <v>8</v>
      </c>
      <c r="E39" s="11">
        <v>8</v>
      </c>
      <c r="F39" s="11">
        <v>8</v>
      </c>
      <c r="G39" s="11">
        <v>8</v>
      </c>
      <c r="H39" s="11">
        <v>8</v>
      </c>
      <c r="I39" s="11">
        <v>8</v>
      </c>
      <c r="J39" s="11">
        <v>8</v>
      </c>
      <c r="K39" s="11">
        <v>9</v>
      </c>
      <c r="L39" s="11">
        <v>9</v>
      </c>
      <c r="M39" s="11">
        <v>9</v>
      </c>
      <c r="N39" s="11">
        <v>9</v>
      </c>
      <c r="O39" s="11">
        <v>9</v>
      </c>
    </row>
    <row r="40" spans="2:15" s="1" customFormat="1" ht="18" customHeight="1" x14ac:dyDescent="0.25"/>
    <row r="41" spans="2:15" s="1" customFormat="1" ht="18" customHeight="1" x14ac:dyDescent="0.25"/>
    <row r="42" spans="2:15" s="1" customFormat="1" ht="18" customHeight="1" x14ac:dyDescent="0.25"/>
    <row r="43" spans="2:15" s="1" customFormat="1" ht="18" customHeight="1" x14ac:dyDescent="0.25">
      <c r="B43" s="93" t="s">
        <v>25</v>
      </c>
      <c r="C43" s="93"/>
      <c r="D43" s="92" t="s">
        <v>24</v>
      </c>
      <c r="E43" s="92"/>
      <c r="F43" s="92"/>
      <c r="G43" s="92"/>
      <c r="H43" s="92"/>
      <c r="I43" s="92"/>
      <c r="J43" s="92"/>
    </row>
    <row r="44" spans="2:15" s="4" customFormat="1" ht="18" customHeight="1" x14ac:dyDescent="0.25">
      <c r="B44" s="93"/>
      <c r="C44" s="93"/>
      <c r="D44" s="9">
        <v>1</v>
      </c>
      <c r="E44" s="9">
        <v>2</v>
      </c>
      <c r="F44" s="9">
        <v>3</v>
      </c>
      <c r="G44" s="9">
        <v>4</v>
      </c>
      <c r="H44" s="9">
        <v>5</v>
      </c>
      <c r="I44" s="9">
        <v>6</v>
      </c>
      <c r="J44" s="9">
        <v>7</v>
      </c>
    </row>
    <row r="45" spans="2:15" s="4" customFormat="1" ht="18" customHeight="1" x14ac:dyDescent="0.25">
      <c r="B45" s="86" t="s">
        <v>23</v>
      </c>
      <c r="C45" s="10">
        <v>1</v>
      </c>
      <c r="D45" s="11">
        <v>1</v>
      </c>
      <c r="E45" s="11">
        <v>2</v>
      </c>
      <c r="F45" s="11">
        <v>3</v>
      </c>
      <c r="G45" s="11">
        <v>3</v>
      </c>
      <c r="H45" s="11">
        <v>4</v>
      </c>
      <c r="I45" s="11">
        <v>5</v>
      </c>
      <c r="J45" s="11">
        <v>5</v>
      </c>
    </row>
    <row r="46" spans="2:15" s="4" customFormat="1" ht="18" customHeight="1" x14ac:dyDescent="0.25">
      <c r="B46" s="86"/>
      <c r="C46" s="10">
        <v>2</v>
      </c>
      <c r="D46" s="11">
        <v>2</v>
      </c>
      <c r="E46" s="11">
        <v>2</v>
      </c>
      <c r="F46" s="11">
        <v>3</v>
      </c>
      <c r="G46" s="11">
        <v>4</v>
      </c>
      <c r="H46" s="11">
        <v>4</v>
      </c>
      <c r="I46" s="11">
        <v>5</v>
      </c>
      <c r="J46" s="11">
        <v>5</v>
      </c>
    </row>
    <row r="47" spans="2:15" s="4" customFormat="1" ht="18" customHeight="1" x14ac:dyDescent="0.25">
      <c r="B47" s="86"/>
      <c r="C47" s="10">
        <v>3</v>
      </c>
      <c r="D47" s="11">
        <v>3</v>
      </c>
      <c r="E47" s="11">
        <v>3</v>
      </c>
      <c r="F47" s="11">
        <v>3</v>
      </c>
      <c r="G47" s="11">
        <v>4</v>
      </c>
      <c r="H47" s="11">
        <v>4</v>
      </c>
      <c r="I47" s="11">
        <v>5</v>
      </c>
      <c r="J47" s="11">
        <v>6</v>
      </c>
    </row>
    <row r="48" spans="2:15" s="4" customFormat="1" ht="18" customHeight="1" x14ac:dyDescent="0.25">
      <c r="B48" s="86"/>
      <c r="C48" s="10">
        <v>4</v>
      </c>
      <c r="D48" s="11">
        <v>3</v>
      </c>
      <c r="E48" s="11">
        <v>3</v>
      </c>
      <c r="F48" s="11">
        <v>3</v>
      </c>
      <c r="G48" s="11">
        <v>4</v>
      </c>
      <c r="H48" s="11">
        <v>5</v>
      </c>
      <c r="I48" s="11">
        <v>6</v>
      </c>
      <c r="J48" s="11">
        <v>6</v>
      </c>
    </row>
    <row r="49" spans="2:10" s="4" customFormat="1" ht="18" customHeight="1" x14ac:dyDescent="0.25">
      <c r="B49" s="86"/>
      <c r="C49" s="10">
        <v>5</v>
      </c>
      <c r="D49" s="11">
        <v>4</v>
      </c>
      <c r="E49" s="11">
        <v>4</v>
      </c>
      <c r="F49" s="11">
        <v>4</v>
      </c>
      <c r="G49" s="11">
        <v>5</v>
      </c>
      <c r="H49" s="11">
        <v>6</v>
      </c>
      <c r="I49" s="11">
        <v>7</v>
      </c>
      <c r="J49" s="11">
        <v>7</v>
      </c>
    </row>
    <row r="50" spans="2:10" s="4" customFormat="1" ht="18" customHeight="1" x14ac:dyDescent="0.25">
      <c r="B50" s="86"/>
      <c r="C50" s="10">
        <v>6</v>
      </c>
      <c r="D50" s="11">
        <v>4</v>
      </c>
      <c r="E50" s="11">
        <v>4</v>
      </c>
      <c r="F50" s="11">
        <v>5</v>
      </c>
      <c r="G50" s="11">
        <v>6</v>
      </c>
      <c r="H50" s="11">
        <v>6</v>
      </c>
      <c r="I50" s="11">
        <v>7</v>
      </c>
      <c r="J50" s="11">
        <v>7</v>
      </c>
    </row>
    <row r="51" spans="2:10" s="4" customFormat="1" ht="18" customHeight="1" x14ac:dyDescent="0.25">
      <c r="B51" s="86"/>
      <c r="C51" s="10">
        <v>7</v>
      </c>
      <c r="D51" s="11">
        <v>5</v>
      </c>
      <c r="E51" s="11">
        <v>5</v>
      </c>
      <c r="F51" s="11">
        <v>6</v>
      </c>
      <c r="G51" s="11">
        <v>6</v>
      </c>
      <c r="H51" s="11">
        <v>7</v>
      </c>
      <c r="I51" s="11">
        <v>7</v>
      </c>
      <c r="J51" s="11">
        <v>7</v>
      </c>
    </row>
    <row r="52" spans="2:10" s="4" customFormat="1" ht="18" customHeight="1" x14ac:dyDescent="0.25">
      <c r="B52" s="86"/>
      <c r="C52" s="10">
        <v>8</v>
      </c>
      <c r="D52" s="11">
        <v>5</v>
      </c>
      <c r="E52" s="11">
        <v>5</v>
      </c>
      <c r="F52" s="11">
        <v>6</v>
      </c>
      <c r="G52" s="11">
        <v>7</v>
      </c>
      <c r="H52" s="11">
        <v>7</v>
      </c>
      <c r="I52" s="11">
        <v>7</v>
      </c>
      <c r="J52" s="11">
        <v>7</v>
      </c>
    </row>
    <row r="53" spans="2:10" s="4" customFormat="1" ht="18" customHeight="1" x14ac:dyDescent="0.25"/>
    <row r="54" spans="2:10" s="4" customFormat="1" ht="18" customHeight="1" x14ac:dyDescent="0.25"/>
    <row r="55" spans="2:10" s="4" customFormat="1" ht="18" customHeight="1" x14ac:dyDescent="0.25"/>
    <row r="56" spans="2:10" s="4" customFormat="1" ht="18" customHeight="1" x14ac:dyDescent="0.25"/>
    <row r="57" spans="2:10" s="4" customFormat="1" ht="18" customHeight="1" x14ac:dyDescent="0.25"/>
    <row r="58" spans="2:10" s="1" customFormat="1" x14ac:dyDescent="0.25"/>
    <row r="59" spans="2:10" s="1" customFormat="1" x14ac:dyDescent="0.25"/>
    <row r="60" spans="2:10" s="1" customFormat="1" x14ac:dyDescent="0.25"/>
    <row r="61" spans="2:10" s="1" customFormat="1" x14ac:dyDescent="0.25"/>
    <row r="62" spans="2:10" s="1" customFormat="1" x14ac:dyDescent="0.25"/>
    <row r="63" spans="2:10" s="1" customFormat="1" x14ac:dyDescent="0.25"/>
    <row r="64" spans="2:10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</sheetData>
  <mergeCells count="36">
    <mergeCell ref="L32:M32"/>
    <mergeCell ref="N32:O32"/>
    <mergeCell ref="B5:C6"/>
    <mergeCell ref="B7:B8"/>
    <mergeCell ref="C7:C8"/>
    <mergeCell ref="D30:O30"/>
    <mergeCell ref="L31:M31"/>
    <mergeCell ref="N31:O31"/>
    <mergeCell ref="D43:J43"/>
    <mergeCell ref="B43:C44"/>
    <mergeCell ref="D31:E31"/>
    <mergeCell ref="F31:G31"/>
    <mergeCell ref="H31:I31"/>
    <mergeCell ref="J31:K31"/>
    <mergeCell ref="B34:B39"/>
    <mergeCell ref="B30:C33"/>
    <mergeCell ref="D32:E32"/>
    <mergeCell ref="F32:G32"/>
    <mergeCell ref="H32:I32"/>
    <mergeCell ref="J32:K32"/>
    <mergeCell ref="B45:B52"/>
    <mergeCell ref="D5:K5"/>
    <mergeCell ref="B9:B11"/>
    <mergeCell ref="B12:B14"/>
    <mergeCell ref="B15:B17"/>
    <mergeCell ref="B18:B20"/>
    <mergeCell ref="D6:E6"/>
    <mergeCell ref="F6:G6"/>
    <mergeCell ref="H6:I6"/>
    <mergeCell ref="J6:K6"/>
    <mergeCell ref="D7:E7"/>
    <mergeCell ref="F7:G7"/>
    <mergeCell ref="H7:I7"/>
    <mergeCell ref="J7:K7"/>
    <mergeCell ref="B21:B23"/>
    <mergeCell ref="B24:B26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A77916942581B48945393E850C2B96B" ma:contentTypeVersion="13" ma:contentTypeDescription="Create a new document." ma:contentTypeScope="" ma:versionID="4617976bf87176c4760f2a03f2047d4d">
  <xsd:schema xmlns:xsd="http://www.w3.org/2001/XMLSchema" xmlns:xs="http://www.w3.org/2001/XMLSchema" xmlns:p="http://schemas.microsoft.com/office/2006/metadata/properties" xmlns:ns3="bb3cd0ff-8a86-4652-bbb3-a9cd2acd5485" xmlns:ns4="daa2e740-78df-4728-9622-90a6edba4b58" targetNamespace="http://schemas.microsoft.com/office/2006/metadata/properties" ma:root="true" ma:fieldsID="06ecda991cb17b5aa077c7d35caa1849" ns3:_="" ns4:_="">
    <xsd:import namespace="bb3cd0ff-8a86-4652-bbb3-a9cd2acd5485"/>
    <xsd:import namespace="daa2e740-78df-4728-9622-90a6edba4b5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ingHintHash" minOccurs="0"/>
                <xsd:element ref="ns3:SharedWithDetails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MediaServiceDateTaken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3cd0ff-8a86-4652-bbb3-a9cd2acd548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a2e740-78df-4728-9622-90a6edba4b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1DD4313-D32B-4CAE-8F94-21682EFF1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3cd0ff-8a86-4652-bbb3-a9cd2acd5485"/>
    <ds:schemaRef ds:uri="daa2e740-78df-4728-9622-90a6edba4b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B18F41-FD4C-4110-8305-0A82F616D3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9BA940-C0B1-4783-B589-8F7DC118C824}">
  <ds:schemaRefs>
    <ds:schemaRef ds:uri="http://www.w3.org/XML/1998/namespace"/>
    <ds:schemaRef ds:uri="http://schemas.microsoft.com/office/2006/documentManagement/types"/>
    <ds:schemaRef ds:uri="http://purl.org/dc/elements/1.1/"/>
    <ds:schemaRef ds:uri="daa2e740-78df-4728-9622-90a6edba4b58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bb3cd0ff-8a86-4652-bbb3-a9cd2acd5485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RULA Calculator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Rodriguez Coca, Diana</cp:lastModifiedBy>
  <dcterms:created xsi:type="dcterms:W3CDTF">2016-11-09T20:42:06Z</dcterms:created>
  <dcterms:modified xsi:type="dcterms:W3CDTF">2020-11-17T22:18:39Z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0x0101008A77916942581B48945393E850C2B96B</vt:lpwstr>
  </property>
</Properties>
</file>
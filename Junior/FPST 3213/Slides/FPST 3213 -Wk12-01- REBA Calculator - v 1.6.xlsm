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statemailokstate-my.sharepoint.com/personal/dmrodri_okstate_edu/Documents/TIC/FPSET/2022-.SP/3213. SWJTU/Lectures/"/>
    </mc:Choice>
  </mc:AlternateContent>
  <xr:revisionPtr revIDLastSave="38" documentId="8_{B63CB6C8-7708-4582-8613-175EC3F041F4}" xr6:coauthVersionLast="47" xr6:coauthVersionMax="47" xr10:uidLastSave="{FAE43C09-B8D0-41F9-9A0E-6A33A3FD8759}"/>
  <bookViews>
    <workbookView xWindow="75" yWindow="1980" windowWidth="18375" windowHeight="13470" xr2:uid="{00000000-000D-0000-FFFF-FFFF00000000}"/>
  </bookViews>
  <sheets>
    <sheet name="REBA Calculator" sheetId="3" r:id="rId1"/>
    <sheet name="Lookup 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9" i="3" l="1"/>
  <c r="AB9" i="3" s="1"/>
  <c r="F29" i="3"/>
  <c r="F31" i="3"/>
  <c r="F34" i="3"/>
  <c r="Y18" i="3"/>
  <c r="AB18" i="3" s="1"/>
  <c r="F18" i="3"/>
  <c r="C18" i="3"/>
  <c r="R12" i="3"/>
  <c r="O12" i="3"/>
  <c r="I12" i="3"/>
  <c r="F12" i="3"/>
  <c r="F9" i="3"/>
  <c r="C9" i="3"/>
  <c r="X6" i="3"/>
  <c r="U6" i="3"/>
  <c r="R6" i="3"/>
  <c r="O6" i="3"/>
  <c r="F6" i="3"/>
  <c r="C6" i="3"/>
  <c r="K6" i="3" l="1"/>
  <c r="AB6" i="3"/>
  <c r="K18" i="3"/>
  <c r="K12" i="3"/>
  <c r="K9" i="3"/>
  <c r="AB12" i="3"/>
  <c r="K15" i="3" l="1"/>
  <c r="K21" i="3"/>
  <c r="AB15" i="3"/>
  <c r="AB21" i="3" s="1"/>
  <c r="B26" i="3" l="1"/>
  <c r="N3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</author>
  </authors>
  <commentList>
    <comment ref="B6" authorId="0" shapeId="0" xr:uid="{00000000-0006-0000-0000-000001000000}">
      <text/>
    </comment>
    <comment ref="E6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N6" authorId="0" shapeId="0" xr:uid="{00000000-0006-0000-0000-000003000000}">
      <text/>
    </comment>
    <comment ref="Q6" authorId="0" shapeId="0" xr:uid="{00000000-0006-0000-0000-000004000000}">
      <text/>
    </comment>
    <comment ref="T6" authorId="0" shapeId="0" xr:uid="{00000000-0006-0000-0000-000005000000}">
      <text/>
    </comment>
    <comment ref="W6" authorId="0" shapeId="0" xr:uid="{00000000-0006-0000-0000-000006000000}">
      <text/>
    </comment>
    <comment ref="B9" authorId="0" shapeId="0" xr:uid="{00000000-0006-0000-0000-000007000000}">
      <text/>
    </comment>
    <comment ref="E9" authorId="0" shapeId="0" xr:uid="{00000000-0006-0000-0000-000008000000}">
      <text/>
    </comment>
    <comment ref="N9" authorId="0" shapeId="0" xr:uid="{00000000-0006-0000-0000-000009000000}">
      <text/>
    </comment>
    <comment ref="B12" authorId="0" shapeId="0" xr:uid="{00000000-0006-0000-0000-00000A000000}">
      <text/>
    </comment>
    <comment ref="H12" authorId="0" shapeId="0" xr:uid="{00000000-0006-0000-0000-00000B000000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N12" authorId="0" shapeId="0" xr:uid="{00000000-0006-0000-0000-00000C000000}">
      <text/>
    </comment>
    <comment ref="Q12" authorId="0" shapeId="0" xr:uid="{00000000-0006-0000-0000-00000D000000}">
      <text/>
    </comment>
  </commentList>
</comments>
</file>

<file path=xl/sharedStrings.xml><?xml version="1.0" encoding="utf-8"?>
<sst xmlns="http://schemas.openxmlformats.org/spreadsheetml/2006/main" count="94" uniqueCount="78">
  <si>
    <t>4. Posture Score</t>
  </si>
  <si>
    <t>6. Score A</t>
  </si>
  <si>
    <t>10. Posture Score</t>
  </si>
  <si>
    <t>12. Score B</t>
  </si>
  <si>
    <t>Is there shock or rapid build up of force?</t>
  </si>
  <si>
    <t>Leg Adjustment</t>
  </si>
  <si>
    <t>Is shoulder raised?</t>
  </si>
  <si>
    <t>Is upper arm abducted?</t>
  </si>
  <si>
    <t>Is wrist bent from midline or twisted?</t>
  </si>
  <si>
    <t>Neck Score</t>
  </si>
  <si>
    <t>Trunk  Score</t>
  </si>
  <si>
    <t>Force/Load Score</t>
  </si>
  <si>
    <t>Coupling Score</t>
  </si>
  <si>
    <t>Wrist Score</t>
  </si>
  <si>
    <t>Lower Arm Score</t>
  </si>
  <si>
    <t>Upper Arm Score</t>
  </si>
  <si>
    <t>Is arm supported / person leaning?</t>
  </si>
  <si>
    <t>Rapid Entire Body Assessment (REBA) Calculator</t>
  </si>
  <si>
    <t>Yes</t>
  </si>
  <si>
    <t>No</t>
  </si>
  <si>
    <t>Upright</t>
  </si>
  <si>
    <t>Bilateral weight bearing, walking or sitting</t>
  </si>
  <si>
    <t>Unilateral weight bearing Feather weight bearing or an unstable posture</t>
  </si>
  <si>
    <t xml:space="preserve">Load &lt; 11 pounds </t>
  </si>
  <si>
    <t xml:space="preserve">Load 11-22 pounds </t>
  </si>
  <si>
    <t>Load &gt; 22 pounds</t>
  </si>
  <si>
    <t xml:space="preserve">Good - well fitting handle and mid range power grip </t>
  </si>
  <si>
    <t xml:space="preserve">Fair - acceptable but not ideal hand hold or coupling acceptable with another body part </t>
  </si>
  <si>
    <t xml:space="preserve">Poor - Hand hold not acceptable but possible </t>
  </si>
  <si>
    <t xml:space="preserve">Unacceptable - No handles, awkward, unsafe with any body part </t>
  </si>
  <si>
    <t xml:space="preserve"> = REBA Score</t>
  </si>
  <si>
    <t>0˚ - 20˚ flexion</t>
  </si>
  <si>
    <t>&gt; 20˚ flexion or &gt; 20˚ extension</t>
  </si>
  <si>
    <t>0˚ - 20˚ flexion, 0˚ - 20˚ extension</t>
  </si>
  <si>
    <t>20˚ - 60˚ flexion, &gt; 20˚ extension</t>
  </si>
  <si>
    <t>&gt; 60˚ flexion</t>
  </si>
  <si>
    <t>20˚ extension to 20˚ flexion</t>
  </si>
  <si>
    <t>&gt; 20˚ extension, 20˚ - 45˚ flexion</t>
  </si>
  <si>
    <t>45˚ - 90˚ flexion</t>
  </si>
  <si>
    <t>&gt; 90˚ flexion</t>
  </si>
  <si>
    <t>60˚ - 100˚ flexion</t>
  </si>
  <si>
    <t>&gt; 100˚ flexion</t>
  </si>
  <si>
    <t>0 - 15˚ flexion or extension</t>
  </si>
  <si>
    <t>&gt; 15˚ flexion, &gt;15˚ extension</t>
  </si>
  <si>
    <t xml:space="preserve"> </t>
  </si>
  <si>
    <t>30 - 60 flexion</t>
  </si>
  <si>
    <t>&gt; 60 flexion</t>
  </si>
  <si>
    <t>Trunk</t>
  </si>
  <si>
    <t>Legs</t>
  </si>
  <si>
    <t>Neck</t>
  </si>
  <si>
    <t>Upper Arm</t>
  </si>
  <si>
    <t>Wrist</t>
  </si>
  <si>
    <t>Lower Arm</t>
  </si>
  <si>
    <t>Section B</t>
  </si>
  <si>
    <t>Table A</t>
  </si>
  <si>
    <t>Table B</t>
  </si>
  <si>
    <t>Table C</t>
  </si>
  <si>
    <t>Section A</t>
  </si>
  <si>
    <t>Tables</t>
  </si>
  <si>
    <t>Is neck twisted or side bending?</t>
  </si>
  <si>
    <t>Is trunk twisted or side bending?</t>
  </si>
  <si>
    <t>None</t>
  </si>
  <si>
    <t>Rapid Entire Body Assessment Calculator</t>
  </si>
  <si>
    <t>Force/Load</t>
  </si>
  <si>
    <t xml:space="preserve">Coupling </t>
  </si>
  <si>
    <t>NECK, TRUNK AND LEG ANALYSIS</t>
  </si>
  <si>
    <t>ARM AND WRIST ANALYSIS</t>
  </si>
  <si>
    <t>RESULTS</t>
  </si>
  <si>
    <t>ACTIVITY SCORE</t>
  </si>
  <si>
    <t xml:space="preserve">Neck </t>
  </si>
  <si>
    <t xml:space="preserve">Trunk </t>
  </si>
  <si>
    <t xml:space="preserve">Upper Arm </t>
  </si>
  <si>
    <t xml:space="preserve">Lower Arm </t>
  </si>
  <si>
    <t xml:space="preserve">Wrist </t>
  </si>
  <si>
    <t>Are 1 or more body parts  held for longer than 1 minute (static)?</t>
  </si>
  <si>
    <t>Are there repeated small range action (more than 4x per minute)?</t>
  </si>
  <si>
    <t>Is there action that causes rapid large range changes in posture / unstable base?</t>
  </si>
  <si>
    <t>0 - 60˚flexion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</si>
</sst>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4" tint="0.3999755851924192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0.3999755851924192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7BC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EC3F8"/>
        <bgColor indexed="64"/>
      </patternFill>
    </fill>
    <fill>
      <patternFill patternType="solid">
        <fgColor rgb="FFEB7B6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Border="1"/>
    <xf numFmtId="0" fontId="0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/>
    <xf numFmtId="0" fontId="0" fillId="3" borderId="0" xfId="0" applyFill="1" applyBorder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0" fillId="3" borderId="0" xfId="0" applyFont="1" applyFill="1"/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" fillId="3" borderId="0" xfId="0" applyFont="1" applyFill="1"/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wrapText="1"/>
    </xf>
    <xf numFmtId="0" fontId="0" fillId="3" borderId="0" xfId="0" applyFill="1" applyAlignment="1">
      <alignment vertical="center" wrapText="1"/>
    </xf>
    <xf numFmtId="0" fontId="3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/>
    </xf>
    <xf numFmtId="0" fontId="7" fillId="5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0" fillId="5" borderId="0" xfId="0" applyFill="1" applyBorder="1"/>
    <xf numFmtId="0" fontId="12" fillId="5" borderId="0" xfId="0" applyFont="1" applyFill="1" applyAlignment="1">
      <alignment horizontal="left" vertical="center"/>
    </xf>
    <xf numFmtId="0" fontId="0" fillId="7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3" borderId="0" xfId="0" applyFont="1" applyFill="1" applyBorder="1" applyAlignment="1">
      <alignment horizontal="left" vertical="center"/>
    </xf>
    <xf numFmtId="0" fontId="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left" vertical="center"/>
    </xf>
    <xf numFmtId="0" fontId="9" fillId="3" borderId="0" xfId="0" applyFont="1" applyFill="1" applyBorder="1"/>
    <xf numFmtId="0" fontId="15" fillId="5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8" fillId="3" borderId="0" xfId="0" applyFont="1" applyFill="1"/>
    <xf numFmtId="0" fontId="2" fillId="3" borderId="0" xfId="0" applyFont="1" applyFill="1" applyAlignment="1"/>
    <xf numFmtId="0" fontId="17" fillId="4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 wrapText="1"/>
    </xf>
    <xf numFmtId="0" fontId="0" fillId="3" borderId="0" xfId="0" applyFill="1" applyAlignment="1">
      <alignment horizontal="left" wrapText="1"/>
    </xf>
    <xf numFmtId="0" fontId="0" fillId="3" borderId="0" xfId="0" applyFont="1" applyFill="1" applyAlignment="1">
      <alignment horizontal="center" vertical="center" wrapText="1"/>
    </xf>
    <xf numFmtId="0" fontId="18" fillId="3" borderId="0" xfId="0" applyFont="1" applyFill="1" applyAlignment="1">
      <alignment horizontal="center" vertical="center"/>
    </xf>
    <xf numFmtId="0" fontId="0" fillId="3" borderId="0" xfId="0" applyFont="1" applyFill="1" applyAlignment="1">
      <alignment vertical="center" wrapText="1"/>
    </xf>
    <xf numFmtId="0" fontId="21" fillId="3" borderId="0" xfId="0" applyFont="1" applyFill="1" applyAlignment="1">
      <alignment horizontal="center" vertical="center"/>
    </xf>
    <xf numFmtId="0" fontId="7" fillId="3" borderId="0" xfId="0" applyFont="1" applyFill="1"/>
    <xf numFmtId="0" fontId="22" fillId="3" borderId="0" xfId="0" applyFont="1" applyFill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/>
    </xf>
    <xf numFmtId="0" fontId="25" fillId="3" borderId="0" xfId="0" applyFont="1" applyFill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10" fillId="3" borderId="0" xfId="0" applyFont="1" applyFill="1" applyAlignment="1"/>
    <xf numFmtId="0" fontId="20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7" fillId="3" borderId="0" xfId="0" applyFont="1" applyFill="1" applyAlignment="1"/>
    <xf numFmtId="0" fontId="7" fillId="3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wrapText="1"/>
    </xf>
    <xf numFmtId="0" fontId="8" fillId="3" borderId="0" xfId="0" applyFont="1" applyFill="1" applyAlignment="1">
      <alignment wrapText="1"/>
    </xf>
    <xf numFmtId="0" fontId="0" fillId="3" borderId="0" xfId="0" applyFill="1" applyAlignment="1">
      <alignment horizontal="center"/>
    </xf>
    <xf numFmtId="0" fontId="0" fillId="3" borderId="0" xfId="0" applyFont="1" applyFill="1" applyBorder="1" applyAlignment="1">
      <alignment horizontal="center" vertical="center"/>
    </xf>
    <xf numFmtId="0" fontId="0" fillId="4" borderId="0" xfId="0" applyFont="1" applyFill="1" applyAlignment="1" applyProtection="1">
      <alignment horizontal="left" vertical="center"/>
      <protection locked="0"/>
    </xf>
    <xf numFmtId="0" fontId="0" fillId="4" borderId="0" xfId="0" applyFont="1" applyFill="1" applyAlignment="1" applyProtection="1">
      <alignment horizontal="center" vertical="center"/>
      <protection locked="0"/>
    </xf>
    <xf numFmtId="0" fontId="0" fillId="4" borderId="0" xfId="0" applyFont="1" applyFill="1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6" borderId="8" xfId="0" applyFont="1" applyFill="1" applyBorder="1" applyAlignment="1">
      <alignment horizontal="center" vertical="center"/>
    </xf>
    <xf numFmtId="0" fontId="0" fillId="11" borderId="2" xfId="0" applyFont="1" applyFill="1" applyBorder="1" applyAlignment="1">
      <alignment horizontal="center" vertical="center"/>
    </xf>
    <xf numFmtId="0" fontId="0" fillId="11" borderId="3" xfId="0" applyFont="1" applyFill="1" applyBorder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12" borderId="5" xfId="0" applyFont="1" applyFill="1" applyBorder="1" applyAlignment="1">
      <alignment horizontal="center" vertical="center" textRotation="90"/>
    </xf>
    <xf numFmtId="0" fontId="0" fillId="12" borderId="6" xfId="0" applyFont="1" applyFill="1" applyBorder="1" applyAlignment="1">
      <alignment horizontal="center" vertical="center" textRotation="90"/>
    </xf>
    <xf numFmtId="0" fontId="0" fillId="12" borderId="7" xfId="0" applyFont="1" applyFill="1" applyBorder="1" applyAlignment="1">
      <alignment horizontal="center" vertical="center" textRotation="90"/>
    </xf>
    <xf numFmtId="0" fontId="0" fillId="10" borderId="2" xfId="0" applyFont="1" applyFill="1" applyBorder="1" applyAlignment="1">
      <alignment horizontal="center" vertical="center"/>
    </xf>
    <xf numFmtId="0" fontId="0" fillId="10" borderId="3" xfId="0" applyFont="1" applyFill="1" applyBorder="1" applyAlignment="1">
      <alignment horizontal="center" vertical="center"/>
    </xf>
    <xf numFmtId="0" fontId="0" fillId="10" borderId="4" xfId="0" applyFont="1" applyFill="1" applyBorder="1" applyAlignment="1">
      <alignment horizontal="center" vertical="center"/>
    </xf>
    <xf numFmtId="0" fontId="0" fillId="4" borderId="0" xfId="0" applyFont="1" applyFill="1" applyAlignment="1" applyProtection="1">
      <alignment horizontal="left" vertical="center" wrapText="1"/>
      <protection locked="0"/>
    </xf>
    <xf numFmtId="0" fontId="0" fillId="4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>
      <alignment horizontal="center"/>
    </xf>
    <xf numFmtId="0" fontId="27" fillId="5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 wrapText="1"/>
    </xf>
    <xf numFmtId="0" fontId="0" fillId="4" borderId="2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47BC2"/>
      <color rgb="FF2CB0AD"/>
      <color rgb="FFF5F5F5"/>
      <color rgb="FFE8CA18"/>
      <color rgb="FFC66630"/>
      <color rgb="FF50DE72"/>
      <color rgb="FFEB7B6F"/>
      <color rgb="FF6EC3F8"/>
      <color rgb="FF025284"/>
      <color rgb="FF0364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jpeg"/><Relationship Id="rId3" Type="http://schemas.openxmlformats.org/officeDocument/2006/relationships/image" Target="../media/image5.jpeg"/><Relationship Id="rId7" Type="http://schemas.openxmlformats.org/officeDocument/2006/relationships/image" Target="../media/image9.jpeg"/><Relationship Id="rId12" Type="http://schemas.openxmlformats.org/officeDocument/2006/relationships/image" Target="../media/image14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11" Type="http://schemas.openxmlformats.org/officeDocument/2006/relationships/image" Target="../media/image13.jpeg"/><Relationship Id="rId5" Type="http://schemas.openxmlformats.org/officeDocument/2006/relationships/image" Target="../media/image7.jpeg"/><Relationship Id="rId10" Type="http://schemas.openxmlformats.org/officeDocument/2006/relationships/image" Target="../media/image12.jpeg"/><Relationship Id="rId4" Type="http://schemas.openxmlformats.org/officeDocument/2006/relationships/image" Target="../media/image6.jpeg"/><Relationship Id="rId9" Type="http://schemas.openxmlformats.org/officeDocument/2006/relationships/image" Target="../media/image1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76200</xdr:colOff>
      <xdr:row>0</xdr:row>
      <xdr:rowOff>190500</xdr:rowOff>
    </xdr:from>
    <xdr:to>
      <xdr:col>24</xdr:col>
      <xdr:colOff>219074</xdr:colOff>
      <xdr:row>0</xdr:row>
      <xdr:rowOff>619125</xdr:rowOff>
    </xdr:to>
    <xdr:sp macro="[0]!_xludf.clear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325100" y="190500"/>
          <a:ext cx="1447799" cy="428625"/>
        </a:xfrm>
        <a:prstGeom prst="roundRect">
          <a:avLst>
            <a:gd name="adj" fmla="val 4340"/>
          </a:avLst>
        </a:prstGeom>
        <a:solidFill>
          <a:srgbClr val="2CB0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Page</a:t>
          </a:r>
        </a:p>
      </xdr:txBody>
    </xdr:sp>
    <xdr:clientData/>
  </xdr:twoCellAnchor>
  <xdr:oneCellAnchor>
    <xdr:from>
      <xdr:col>16</xdr:col>
      <xdr:colOff>180975</xdr:colOff>
      <xdr:row>22</xdr:row>
      <xdr:rowOff>286182</xdr:rowOff>
    </xdr:from>
    <xdr:ext cx="3495675" cy="175191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77150" y="5658282"/>
          <a:ext cx="3495675" cy="1751912"/>
        </a:xfrm>
        <a:prstGeom prst="rect">
          <a:avLst/>
        </a:prstGeom>
      </xdr:spPr>
    </xdr:pic>
    <xdr:clientData/>
  </xdr:oneCellAnchor>
  <xdr:twoCellAnchor editAs="oneCell">
    <xdr:from>
      <xdr:col>1</xdr:col>
      <xdr:colOff>76200</xdr:colOff>
      <xdr:row>0</xdr:row>
      <xdr:rowOff>209550</xdr:rowOff>
    </xdr:from>
    <xdr:to>
      <xdr:col>1</xdr:col>
      <xdr:colOff>1885950</xdr:colOff>
      <xdr:row>0</xdr:row>
      <xdr:rowOff>571500</xdr:rowOff>
    </xdr:to>
    <xdr:pic>
      <xdr:nvPicPr>
        <xdr:cNvPr id="6" name="Picture 5" descr="http://ergo-plus.com/wp-content/uploads/newlogosmall1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9550"/>
          <a:ext cx="18097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200025</xdr:rowOff>
    </xdr:from>
    <xdr:to>
      <xdr:col>4</xdr:col>
      <xdr:colOff>38100</xdr:colOff>
      <xdr:row>0</xdr:row>
      <xdr:rowOff>561975</xdr:rowOff>
    </xdr:to>
    <xdr:pic>
      <xdr:nvPicPr>
        <xdr:cNvPr id="3" name="Picture 2" descr="http://ergo-plus.com/wp-content/uploads/newlogosmall1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200025"/>
          <a:ext cx="18097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S159"/>
  <sheetViews>
    <sheetView showGridLines="0" showRowColHeaders="0" tabSelected="1" topLeftCell="A16" zoomScaleNormal="100" workbookViewId="0">
      <selection activeCell="B6" sqref="B6"/>
    </sheetView>
  </sheetViews>
  <sheetFormatPr defaultColWidth="9.140625" defaultRowHeight="15" x14ac:dyDescent="0.25"/>
  <cols>
    <col min="1" max="1" width="3.140625" style="1" customWidth="1"/>
    <col min="2" max="2" width="34.42578125" style="1" customWidth="1"/>
    <col min="3" max="3" width="3.140625" style="1" customWidth="1"/>
    <col min="4" max="4" width="1.85546875" style="1" customWidth="1"/>
    <col min="5" max="5" width="9.7109375" style="1" customWidth="1"/>
    <col min="6" max="6" width="3.42578125" style="1" customWidth="1"/>
    <col min="7" max="7" width="2" style="1" customWidth="1"/>
    <col min="8" max="8" width="11" style="1" customWidth="1"/>
    <col min="9" max="9" width="5.5703125" style="1" customWidth="1"/>
    <col min="10" max="10" width="2.42578125" style="1" customWidth="1"/>
    <col min="11" max="11" width="10" style="1" hidden="1" customWidth="1"/>
    <col min="12" max="12" width="4" style="1" hidden="1" customWidth="1"/>
    <col min="13" max="13" width="2.7109375" style="1" customWidth="1"/>
    <col min="14" max="14" width="28.85546875" style="1" customWidth="1"/>
    <col min="15" max="15" width="2.28515625" style="1" customWidth="1"/>
    <col min="16" max="16" width="1.85546875" style="1" customWidth="1"/>
    <col min="17" max="17" width="9.28515625" style="1" customWidth="1"/>
    <col min="18" max="18" width="4.140625" style="1" customWidth="1"/>
    <col min="19" max="19" width="3.140625" style="1" customWidth="1"/>
    <col min="20" max="20" width="9.28515625" style="1" customWidth="1"/>
    <col min="21" max="21" width="4.140625" style="1" customWidth="1"/>
    <col min="22" max="22" width="6.85546875" style="1" customWidth="1"/>
    <col min="23" max="23" width="9.28515625" style="1" customWidth="1"/>
    <col min="24" max="24" width="3.140625" style="1" customWidth="1"/>
    <col min="25" max="25" width="3.85546875" style="1" customWidth="1"/>
    <col min="26" max="26" width="13.28515625" style="1" customWidth="1"/>
    <col min="27" max="27" width="2" style="1" customWidth="1"/>
    <col min="28" max="28" width="10" style="1" customWidth="1"/>
    <col min="29" max="16384" width="9.140625" style="1"/>
  </cols>
  <sheetData>
    <row r="1" spans="2:32" s="2" customFormat="1" ht="54.75" customHeight="1" x14ac:dyDescent="0.25">
      <c r="E1" s="19"/>
    </row>
    <row r="2" spans="2:32" s="3" customFormat="1" ht="50.25" customHeight="1" x14ac:dyDescent="0.25">
      <c r="B2" s="46" t="s">
        <v>62</v>
      </c>
      <c r="L2" s="37"/>
      <c r="N2" s="36"/>
    </row>
    <row r="3" spans="2:32" s="2" customFormat="1" ht="10.5" customHeight="1" x14ac:dyDescent="0.25">
      <c r="L3" s="5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</row>
    <row r="4" spans="2:32" s="2" customFormat="1" ht="32.25" customHeight="1" x14ac:dyDescent="0.25">
      <c r="B4" s="7" t="s">
        <v>65</v>
      </c>
      <c r="L4" s="5"/>
      <c r="N4" s="7" t="s">
        <v>66</v>
      </c>
      <c r="AC4" s="8"/>
      <c r="AD4" s="8"/>
      <c r="AE4" s="8"/>
      <c r="AF4" s="8"/>
    </row>
    <row r="5" spans="2:32" s="2" customFormat="1" ht="27" customHeight="1" x14ac:dyDescent="0.25">
      <c r="B5" s="16" t="s">
        <v>69</v>
      </c>
      <c r="E5" s="10" t="s">
        <v>59</v>
      </c>
      <c r="F5" s="11"/>
      <c r="G5" s="11"/>
      <c r="H5" s="15"/>
      <c r="K5" s="47" t="s">
        <v>9</v>
      </c>
      <c r="L5" s="5"/>
      <c r="N5" s="16" t="s">
        <v>71</v>
      </c>
      <c r="Q5" s="10" t="s">
        <v>6</v>
      </c>
      <c r="R5" s="50"/>
      <c r="S5" s="50"/>
      <c r="T5" s="10" t="s">
        <v>7</v>
      </c>
      <c r="U5" s="50"/>
      <c r="V5" s="50"/>
      <c r="W5" s="10" t="s">
        <v>16</v>
      </c>
      <c r="X5" s="11"/>
      <c r="AB5" s="59" t="s">
        <v>15</v>
      </c>
      <c r="AC5" s="8"/>
      <c r="AD5" s="8"/>
      <c r="AE5" s="8"/>
      <c r="AF5" s="8"/>
    </row>
    <row r="6" spans="2:32" s="2" customFormat="1" ht="23.25" customHeight="1" x14ac:dyDescent="0.25">
      <c r="B6" s="77"/>
      <c r="C6" s="69" t="str">
        <f>IF(B6="","",VLOOKUP(B6,B95:C97,2,FALSE))</f>
        <v/>
      </c>
      <c r="E6" s="78"/>
      <c r="F6" s="70" t="str">
        <f>IF(E6="","",IF(E6="Yes",1,0))</f>
        <v/>
      </c>
      <c r="H6" s="56"/>
      <c r="I6" s="40"/>
      <c r="J6" s="40"/>
      <c r="K6" s="52" t="str">
        <f>IF(E6="","",C6+F6)</f>
        <v/>
      </c>
      <c r="L6" s="5"/>
      <c r="N6" s="77"/>
      <c r="O6" s="70" t="str">
        <f>IF(N6="","",VLOOKUP(N6,N95:O99,2,FALSE))</f>
        <v/>
      </c>
      <c r="Q6" s="78"/>
      <c r="R6" s="70" t="str">
        <f>IF(Q6="","",IF(Q6="Yes",1,0))</f>
        <v/>
      </c>
      <c r="T6" s="78"/>
      <c r="U6" s="70" t="str">
        <f>IF(T6="","",IF(T6="Yes",1,0))</f>
        <v/>
      </c>
      <c r="W6" s="78"/>
      <c r="X6" s="70" t="str">
        <f>IF(W6="","",IF(W6="Yes",-1,0))</f>
        <v/>
      </c>
      <c r="AB6" s="66" t="str">
        <f>IF(X6="","",O6+R6+U6+X6)</f>
        <v/>
      </c>
      <c r="AC6" s="8"/>
      <c r="AD6" s="8"/>
      <c r="AE6" s="8"/>
      <c r="AF6" s="8"/>
    </row>
    <row r="7" spans="2:32" s="2" customFormat="1" ht="16.5" customHeight="1" x14ac:dyDescent="0.25">
      <c r="L7" s="5"/>
      <c r="AB7" s="60"/>
      <c r="AC7" s="8"/>
      <c r="AD7" s="8"/>
      <c r="AE7" s="8"/>
      <c r="AF7" s="8"/>
    </row>
    <row r="8" spans="2:32" s="2" customFormat="1" ht="21.95" customHeight="1" x14ac:dyDescent="0.25">
      <c r="B8" s="16" t="s">
        <v>70</v>
      </c>
      <c r="E8" s="10" t="s">
        <v>60</v>
      </c>
      <c r="F8" s="11"/>
      <c r="G8" s="11"/>
      <c r="H8" s="15"/>
      <c r="I8" s="14"/>
      <c r="J8" s="14"/>
      <c r="K8" s="47" t="s">
        <v>10</v>
      </c>
      <c r="L8" s="5"/>
      <c r="N8" s="16" t="s">
        <v>72</v>
      </c>
      <c r="Q8" s="15"/>
      <c r="R8" s="14"/>
      <c r="S8" s="14"/>
      <c r="T8" s="15"/>
      <c r="AB8" s="59" t="s">
        <v>14</v>
      </c>
      <c r="AC8" s="8"/>
      <c r="AD8" s="8"/>
      <c r="AF8" s="8"/>
    </row>
    <row r="9" spans="2:32" s="2" customFormat="1" ht="24.75" customHeight="1" x14ac:dyDescent="0.25">
      <c r="B9" s="77"/>
      <c r="C9" s="69" t="str">
        <f>IF(B9="","",VLOOKUP(B9,B100:C104,2,))</f>
        <v/>
      </c>
      <c r="E9" s="78"/>
      <c r="F9" s="70" t="str">
        <f>IF(E9="","",IF(E9="Yes",1,0))</f>
        <v/>
      </c>
      <c r="H9" s="56"/>
      <c r="I9" s="40"/>
      <c r="J9" s="40"/>
      <c r="K9" s="52" t="str">
        <f>IF(F9="","",C9+F9)</f>
        <v/>
      </c>
      <c r="L9" s="5"/>
      <c r="N9" s="77"/>
      <c r="O9" s="70" t="str">
        <f>IF(N9="","",VLOOKUP(N9,N102:O104,2,FALSE))</f>
        <v/>
      </c>
      <c r="AB9" s="61" t="str">
        <f>IF(N9="","",O9)</f>
        <v/>
      </c>
      <c r="AC9" s="8"/>
      <c r="AD9" s="8"/>
      <c r="AE9" s="8"/>
      <c r="AF9" s="8"/>
    </row>
    <row r="10" spans="2:32" s="2" customFormat="1" ht="15.75" customHeight="1" x14ac:dyDescent="0.25">
      <c r="L10" s="5"/>
      <c r="N10" s="23"/>
      <c r="O10" s="12"/>
      <c r="AB10" s="62"/>
      <c r="AC10" s="8"/>
      <c r="AD10" s="8"/>
      <c r="AE10" s="8"/>
      <c r="AF10" s="8"/>
    </row>
    <row r="11" spans="2:32" s="2" customFormat="1" ht="21.95" customHeight="1" x14ac:dyDescent="0.25">
      <c r="B11" s="16" t="s">
        <v>48</v>
      </c>
      <c r="H11" s="10" t="s">
        <v>5</v>
      </c>
      <c r="K11" s="47"/>
      <c r="L11" s="5"/>
      <c r="N11" s="16" t="s">
        <v>73</v>
      </c>
      <c r="Q11" s="10" t="s">
        <v>8</v>
      </c>
      <c r="R11" s="14"/>
      <c r="AB11" s="59" t="s">
        <v>13</v>
      </c>
      <c r="AC11" s="8"/>
      <c r="AD11" s="8"/>
      <c r="AE11" s="8"/>
      <c r="AF11" s="8"/>
    </row>
    <row r="12" spans="2:32" s="2" customFormat="1" ht="32.25" customHeight="1" x14ac:dyDescent="0.25">
      <c r="B12" s="91"/>
      <c r="C12" s="91"/>
      <c r="D12" s="91"/>
      <c r="E12" s="91"/>
      <c r="F12" s="69" t="str">
        <f>IF(B12="","",VLOOKUP(B12,B107:C109,2,FALSE))</f>
        <v/>
      </c>
      <c r="H12" s="79"/>
      <c r="I12" s="70" t="str">
        <f>IF(H12="","",VLOOKUP(H12,B125:C127,2,FALSE))</f>
        <v/>
      </c>
      <c r="J12" s="40"/>
      <c r="K12" s="52" t="str">
        <f>IF(H12="","",F12+I12)</f>
        <v/>
      </c>
      <c r="L12" s="5"/>
      <c r="N12" s="77"/>
      <c r="O12" s="70" t="str">
        <f>IF(N12="","",VLOOKUP(N12,N106:O108,2,FALSE))</f>
        <v/>
      </c>
      <c r="Q12" s="78"/>
      <c r="R12" s="70" t="str">
        <f>IF(Q12="","",IF(Q12="Yes",1,0))</f>
        <v/>
      </c>
      <c r="AB12" s="61" t="str">
        <f>IF(N12="","",O12+R12)</f>
        <v/>
      </c>
      <c r="AC12"/>
      <c r="AD12" s="8"/>
      <c r="AE12" s="8"/>
      <c r="AF12" s="8"/>
    </row>
    <row r="13" spans="2:32" s="2" customFormat="1" ht="6" customHeight="1" x14ac:dyDescent="0.25">
      <c r="L13" s="5"/>
      <c r="N13" s="23"/>
      <c r="O13" s="12"/>
      <c r="Q13" s="4"/>
      <c r="R13" s="13"/>
      <c r="AB13" s="62"/>
      <c r="AC13" s="8"/>
      <c r="AD13" s="8"/>
      <c r="AE13" s="8"/>
      <c r="AF13" s="8"/>
    </row>
    <row r="14" spans="2:32" s="2" customFormat="1" ht="21" hidden="1" customHeight="1" x14ac:dyDescent="0.25">
      <c r="H14" s="16"/>
      <c r="K14" s="49" t="s">
        <v>0</v>
      </c>
      <c r="L14" s="5"/>
      <c r="AB14" s="63" t="s">
        <v>2</v>
      </c>
      <c r="AC14" s="8"/>
      <c r="AD14" s="8"/>
      <c r="AE14" s="8"/>
      <c r="AF14" s="8"/>
    </row>
    <row r="15" spans="2:32" s="2" customFormat="1" ht="23.25" hidden="1" customHeight="1" x14ac:dyDescent="0.25">
      <c r="K15" s="52" t="str">
        <f>IF(K12="","",IF(K6=1,VLOOKUP($K$9,AB98:AF102,MATCH(K12,AB97:AF97),FALSE),IF(K6=2,VLOOKUP($K$9,AH98:AL102,MATCH(K12,AH97:AL97),FALSE),IF(K6=3,VLOOKUP($K$9,AN98:AR102,MATCH(K12,AN97:AR97),FALSE)))))</f>
        <v/>
      </c>
      <c r="L15" s="5"/>
      <c r="AB15" s="61" t="str">
        <f>IF(AB12="","",IF(AB9=1,VLOOKUP(AB6,AU98:AX103,MATCH(AB12,AU97:AX97),FALSE),IF(AB9=2,VLOOKUP(AB6,AZ98:BC103,MATCH(AB12,AZ97:BC97),FALSE),"")))</f>
        <v/>
      </c>
      <c r="AC15" s="8"/>
      <c r="AD15" s="8"/>
      <c r="AE15" s="8"/>
      <c r="AF15" s="8"/>
    </row>
    <row r="16" spans="2:32" s="2" customFormat="1" ht="12.75" customHeight="1" x14ac:dyDescent="0.25">
      <c r="L16" s="5"/>
      <c r="AB16" s="60"/>
      <c r="AC16" s="8"/>
      <c r="AD16" s="8"/>
      <c r="AE16" s="8"/>
      <c r="AF16" s="8"/>
    </row>
    <row r="17" spans="2:32" s="2" customFormat="1" ht="21.95" customHeight="1" x14ac:dyDescent="0.25">
      <c r="B17" s="16" t="s">
        <v>63</v>
      </c>
      <c r="E17" s="10" t="s">
        <v>4</v>
      </c>
      <c r="H17" s="16"/>
      <c r="K17" s="47" t="s">
        <v>11</v>
      </c>
      <c r="L17" s="5"/>
      <c r="N17" s="16" t="s">
        <v>64</v>
      </c>
      <c r="AB17" s="59" t="s">
        <v>12</v>
      </c>
      <c r="AC17" s="8"/>
      <c r="AD17" s="8"/>
      <c r="AE17" s="8"/>
      <c r="AF17" s="8"/>
    </row>
    <row r="18" spans="2:32" s="2" customFormat="1" ht="24" customHeight="1" x14ac:dyDescent="0.25">
      <c r="B18" s="78"/>
      <c r="C18" s="69" t="str">
        <f>IF(B18="","",VLOOKUP(B18,B115:C118,2,FALSE))</f>
        <v/>
      </c>
      <c r="E18" s="78"/>
      <c r="F18" s="70" t="str">
        <f>IF(E18="","",IF(E18="Yes",1,0))</f>
        <v/>
      </c>
      <c r="K18" s="52" t="str">
        <f>IF(F18="","",C18+F18)</f>
        <v/>
      </c>
      <c r="L18" s="5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70" t="str">
        <f>IF(N18="","",VLOOKUP(N18,N110:O114,2,FALSE))</f>
        <v/>
      </c>
      <c r="AB18" s="61" t="str">
        <f>IF(N18="","",Y18)</f>
        <v/>
      </c>
      <c r="AC18" s="8"/>
      <c r="AD18" s="8"/>
      <c r="AE18" s="8"/>
      <c r="AF18" s="8"/>
    </row>
    <row r="19" spans="2:32" s="2" customFormat="1" ht="10.5" customHeight="1" x14ac:dyDescent="0.25">
      <c r="L19" s="5"/>
      <c r="AB19" s="60"/>
      <c r="AC19" s="8"/>
      <c r="AD19" s="8"/>
      <c r="AE19" s="8"/>
      <c r="AF19" s="8"/>
    </row>
    <row r="20" spans="2:32" s="2" customFormat="1" ht="24.75" hidden="1" customHeight="1" x14ac:dyDescent="0.3">
      <c r="K20" s="48" t="s">
        <v>1</v>
      </c>
      <c r="L20" s="5"/>
      <c r="AB20" s="64" t="s">
        <v>3</v>
      </c>
      <c r="AC20" s="8"/>
      <c r="AD20" s="8"/>
      <c r="AE20" s="8"/>
      <c r="AF20" s="8"/>
    </row>
    <row r="21" spans="2:32" s="2" customFormat="1" ht="23.25" hidden="1" customHeight="1" x14ac:dyDescent="0.25">
      <c r="I21" s="8"/>
      <c r="K21" s="34" t="str">
        <f>IF(F18="","",K15+K18)</f>
        <v/>
      </c>
      <c r="L21" s="5"/>
      <c r="AB21" s="65" t="str">
        <f>IF(AB18="","",AB15+AB18)</f>
        <v/>
      </c>
      <c r="AC21" s="8"/>
      <c r="AD21" s="8"/>
      <c r="AE21" s="8"/>
      <c r="AF21" s="8"/>
    </row>
    <row r="22" spans="2:32" s="2" customFormat="1" ht="17.25" customHeight="1" x14ac:dyDescent="0.25">
      <c r="L22" s="5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</row>
    <row r="23" spans="2:32" s="2" customFormat="1" ht="25.5" customHeight="1" x14ac:dyDescent="0.25">
      <c r="B23" s="41" t="s">
        <v>68</v>
      </c>
      <c r="C23" s="5"/>
      <c r="D23" s="5"/>
      <c r="E23" s="5"/>
      <c r="F23" s="5"/>
      <c r="G23" s="5"/>
      <c r="L23" s="5"/>
      <c r="N23" s="41" t="s">
        <v>67</v>
      </c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2:32" s="2" customFormat="1" ht="9.75" hidden="1" customHeight="1" x14ac:dyDescent="0.25">
      <c r="B24" s="9"/>
      <c r="C24" s="5"/>
      <c r="D24" s="5"/>
      <c r="E24" s="5"/>
      <c r="F24" s="5"/>
      <c r="G24" s="5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</row>
    <row r="25" spans="2:32" s="2" customFormat="1" ht="19.5" hidden="1" customHeight="1" x14ac:dyDescent="0.3">
      <c r="B25" s="44" t="s">
        <v>56</v>
      </c>
      <c r="C25" s="45"/>
      <c r="E25" s="45"/>
      <c r="F25" s="16"/>
      <c r="G25" s="5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2:32" s="2" customFormat="1" ht="22.5" hidden="1" customHeight="1" x14ac:dyDescent="0.25">
      <c r="B26" s="53" t="str">
        <f>IF(AB21="","",VLOOKUP(K21,BG98:BS109,MATCH(AB21,BG97:BS97,FALSE)))</f>
        <v/>
      </c>
      <c r="C26" s="76"/>
      <c r="D26" s="55"/>
      <c r="E26" s="55"/>
      <c r="F26" s="55"/>
      <c r="G26" s="55"/>
      <c r="H26" s="55"/>
      <c r="I26" s="55"/>
      <c r="J26" s="55"/>
      <c r="K26" s="55"/>
      <c r="L26" s="8"/>
      <c r="M26" s="8"/>
    </row>
    <row r="27" spans="2:32" s="2" customFormat="1" ht="26.25" hidden="1" customHeight="1" x14ac:dyDescent="0.25">
      <c r="D27" s="56"/>
      <c r="E27" s="56"/>
      <c r="F27" s="56"/>
      <c r="G27" s="56"/>
      <c r="H27" s="56"/>
      <c r="I27" s="56"/>
      <c r="J27" s="56"/>
      <c r="K27" s="57"/>
    </row>
    <row r="28" spans="2:32" s="2" customFormat="1" ht="12" customHeight="1" x14ac:dyDescent="0.25">
      <c r="B28" s="16"/>
      <c r="D28" s="54"/>
      <c r="E28" s="54"/>
      <c r="F28" s="54"/>
      <c r="G28" s="54"/>
      <c r="H28" s="54"/>
      <c r="I28" s="54"/>
      <c r="J28" s="54"/>
      <c r="K28" s="54"/>
      <c r="L28" s="93"/>
      <c r="M28" s="93"/>
    </row>
    <row r="29" spans="2:32" s="2" customFormat="1" ht="28.5" customHeight="1" x14ac:dyDescent="0.35">
      <c r="B29" s="74" t="s">
        <v>74</v>
      </c>
      <c r="C29" s="74"/>
      <c r="D29" s="74"/>
      <c r="E29" s="79"/>
      <c r="F29" s="72" t="str">
        <f>IF(E29="","",IF(E29="Yes",1,0))</f>
        <v/>
      </c>
      <c r="G29" s="56"/>
      <c r="H29" s="56"/>
      <c r="I29" s="56"/>
      <c r="J29" s="56"/>
      <c r="K29" s="57"/>
      <c r="L29" s="75"/>
      <c r="M29" s="75"/>
      <c r="N29" s="67" t="s">
        <v>30</v>
      </c>
    </row>
    <row r="30" spans="2:32" s="2" customFormat="1" ht="27" customHeight="1" x14ac:dyDescent="0.25">
      <c r="B30" s="8"/>
      <c r="C30" s="71"/>
      <c r="D30" s="17"/>
      <c r="E30" s="17"/>
      <c r="F30" s="73"/>
      <c r="G30" s="17"/>
      <c r="H30" s="17"/>
      <c r="I30" s="17"/>
      <c r="J30" s="55"/>
      <c r="K30" s="55"/>
      <c r="N30" s="94" t="str">
        <f>IF(F34="","",B26+F29+F31+F34)</f>
        <v/>
      </c>
    </row>
    <row r="31" spans="2:32" s="2" customFormat="1" ht="27.75" customHeight="1" x14ac:dyDescent="0.25">
      <c r="B31" s="74" t="s">
        <v>75</v>
      </c>
      <c r="C31" s="74"/>
      <c r="D31" s="74"/>
      <c r="E31" s="79"/>
      <c r="F31" s="72" t="str">
        <f>IF(E31="","",IF(E31="Yes",1,0))</f>
        <v/>
      </c>
      <c r="G31" s="58"/>
      <c r="H31" s="58"/>
      <c r="I31" s="56"/>
      <c r="J31" s="56"/>
      <c r="K31" s="57"/>
      <c r="L31" s="93"/>
      <c r="M31" s="93"/>
      <c r="N31" s="94"/>
    </row>
    <row r="32" spans="2:32" s="2" customFormat="1" ht="28.5" customHeight="1" x14ac:dyDescent="0.25">
      <c r="C32" s="60"/>
      <c r="F32" s="60"/>
      <c r="L32" s="5"/>
    </row>
    <row r="33" spans="2:12" s="2" customFormat="1" ht="0.75" customHeight="1" x14ac:dyDescent="0.25">
      <c r="F33" s="60"/>
      <c r="L33" s="5"/>
    </row>
    <row r="34" spans="2:12" s="2" customFormat="1" ht="30.75" customHeight="1" x14ac:dyDescent="0.25">
      <c r="B34" s="95" t="s">
        <v>76</v>
      </c>
      <c r="C34" s="95"/>
      <c r="D34" s="95"/>
      <c r="E34" s="80"/>
      <c r="F34" s="72" t="str">
        <f>IF(E34="","",IF(E34="Yes",1,0))</f>
        <v/>
      </c>
      <c r="L34" s="5"/>
    </row>
    <row r="35" spans="2:12" s="2" customFormat="1" ht="31.5" customHeight="1" x14ac:dyDescent="0.25">
      <c r="C35" s="60"/>
      <c r="L35" s="5"/>
    </row>
    <row r="36" spans="2:12" s="2" customFormat="1" ht="12.75" customHeight="1" x14ac:dyDescent="0.25">
      <c r="L36" s="5"/>
    </row>
    <row r="37" spans="2:12" s="2" customFormat="1" ht="12" customHeight="1" x14ac:dyDescent="0.25">
      <c r="L37" s="5"/>
    </row>
    <row r="38" spans="2:12" s="2" customFormat="1" ht="36" customHeight="1" x14ac:dyDescent="0.25">
      <c r="L38" s="5"/>
    </row>
    <row r="39" spans="2:12" s="2" customFormat="1" ht="19.5" customHeight="1" x14ac:dyDescent="0.3">
      <c r="B39" s="51"/>
      <c r="L39" s="5"/>
    </row>
    <row r="40" spans="2:12" s="2" customFormat="1" ht="37.5" customHeight="1" x14ac:dyDescent="0.25">
      <c r="B40" s="68"/>
      <c r="L40" s="5"/>
    </row>
    <row r="41" spans="2:12" s="2" customFormat="1" ht="16.5" customHeight="1" x14ac:dyDescent="0.25">
      <c r="L41" s="5"/>
    </row>
    <row r="42" spans="2:12" s="2" customFormat="1" ht="16.5" customHeight="1" x14ac:dyDescent="0.25">
      <c r="L42" s="5"/>
    </row>
    <row r="43" spans="2:12" s="2" customFormat="1" ht="2.1" customHeight="1" x14ac:dyDescent="0.25">
      <c r="L43" s="5"/>
    </row>
    <row r="44" spans="2:12" s="2" customFormat="1" ht="2.1" customHeight="1" x14ac:dyDescent="0.25">
      <c r="L44" s="5"/>
    </row>
    <row r="45" spans="2:12" s="2" customFormat="1" ht="2.1" customHeight="1" x14ac:dyDescent="0.25">
      <c r="L45" s="5"/>
    </row>
    <row r="46" spans="2:12" s="2" customFormat="1" ht="2.1" customHeight="1" x14ac:dyDescent="0.25">
      <c r="L46" s="5"/>
    </row>
    <row r="47" spans="2:12" s="2" customFormat="1" ht="2.1" customHeight="1" x14ac:dyDescent="0.25">
      <c r="L47" s="5"/>
    </row>
    <row r="48" spans="2:12" s="2" customFormat="1" ht="2.1" customHeight="1" x14ac:dyDescent="0.25">
      <c r="L48" s="5"/>
    </row>
    <row r="49" spans="12:12" s="2" customFormat="1" ht="2.1" customHeight="1" x14ac:dyDescent="0.25">
      <c r="L49" s="5"/>
    </row>
    <row r="50" spans="12:12" s="2" customFormat="1" ht="2.1" customHeight="1" x14ac:dyDescent="0.25">
      <c r="L50" s="5"/>
    </row>
    <row r="51" spans="12:12" s="2" customFormat="1" ht="2.1" customHeight="1" x14ac:dyDescent="0.25">
      <c r="L51" s="5"/>
    </row>
    <row r="52" spans="12:12" s="2" customFormat="1" ht="2.1" customHeight="1" x14ac:dyDescent="0.25">
      <c r="L52" s="5"/>
    </row>
    <row r="53" spans="12:12" s="2" customFormat="1" ht="2.1" customHeight="1" x14ac:dyDescent="0.25">
      <c r="L53" s="5"/>
    </row>
    <row r="54" spans="12:12" s="2" customFormat="1" ht="2.1" customHeight="1" x14ac:dyDescent="0.25">
      <c r="L54" s="5"/>
    </row>
    <row r="55" spans="12:12" s="2" customFormat="1" ht="2.1" customHeight="1" x14ac:dyDescent="0.25">
      <c r="L55" s="5"/>
    </row>
    <row r="56" spans="12:12" s="2" customFormat="1" ht="2.1" customHeight="1" x14ac:dyDescent="0.25">
      <c r="L56" s="5"/>
    </row>
    <row r="57" spans="12:12" s="2" customFormat="1" ht="2.1" customHeight="1" x14ac:dyDescent="0.25">
      <c r="L57" s="5"/>
    </row>
    <row r="58" spans="12:12" s="2" customFormat="1" ht="2.1" customHeight="1" x14ac:dyDescent="0.25">
      <c r="L58" s="5"/>
    </row>
    <row r="59" spans="12:12" s="2" customFormat="1" ht="2.1" customHeight="1" x14ac:dyDescent="0.25">
      <c r="L59" s="5"/>
    </row>
    <row r="60" spans="12:12" s="2" customFormat="1" ht="2.1" customHeight="1" x14ac:dyDescent="0.25">
      <c r="L60" s="5"/>
    </row>
    <row r="61" spans="12:12" s="2" customFormat="1" ht="2.1" customHeight="1" x14ac:dyDescent="0.25">
      <c r="L61" s="5"/>
    </row>
    <row r="62" spans="12:12" s="2" customFormat="1" ht="2.1" customHeight="1" x14ac:dyDescent="0.25">
      <c r="L62" s="5"/>
    </row>
    <row r="63" spans="12:12" s="2" customFormat="1" ht="2.1" customHeight="1" x14ac:dyDescent="0.25">
      <c r="L63" s="5"/>
    </row>
    <row r="64" spans="12:12" s="2" customFormat="1" ht="2.1" customHeight="1" x14ac:dyDescent="0.25">
      <c r="L64" s="5"/>
    </row>
    <row r="65" spans="12:12" s="2" customFormat="1" ht="2.1" customHeight="1" x14ac:dyDescent="0.25">
      <c r="L65" s="5"/>
    </row>
    <row r="66" spans="12:12" s="2" customFormat="1" ht="2.1" customHeight="1" x14ac:dyDescent="0.25">
      <c r="L66" s="5"/>
    </row>
    <row r="67" spans="12:12" s="2" customFormat="1" ht="2.1" customHeight="1" x14ac:dyDescent="0.25">
      <c r="L67" s="5"/>
    </row>
    <row r="68" spans="12:12" s="2" customFormat="1" ht="2.1" customHeight="1" x14ac:dyDescent="0.25">
      <c r="L68" s="5"/>
    </row>
    <row r="69" spans="12:12" s="2" customFormat="1" ht="2.1" customHeight="1" x14ac:dyDescent="0.25">
      <c r="L69" s="5"/>
    </row>
    <row r="70" spans="12:12" s="2" customFormat="1" ht="2.1" customHeight="1" x14ac:dyDescent="0.25">
      <c r="L70" s="5"/>
    </row>
    <row r="71" spans="12:12" s="2" customFormat="1" ht="2.1" customHeight="1" x14ac:dyDescent="0.25">
      <c r="L71" s="5"/>
    </row>
    <row r="72" spans="12:12" s="2" customFormat="1" ht="2.1" customHeight="1" x14ac:dyDescent="0.25">
      <c r="L72" s="5"/>
    </row>
    <row r="73" spans="12:12" s="2" customFormat="1" ht="2.1" customHeight="1" x14ac:dyDescent="0.25">
      <c r="L73" s="5"/>
    </row>
    <row r="74" spans="12:12" s="2" customFormat="1" ht="2.1" customHeight="1" x14ac:dyDescent="0.25">
      <c r="L74" s="5"/>
    </row>
    <row r="75" spans="12:12" s="2" customFormat="1" ht="2.1" customHeight="1" x14ac:dyDescent="0.25">
      <c r="L75" s="5"/>
    </row>
    <row r="76" spans="12:12" s="2" customFormat="1" ht="2.1" customHeight="1" x14ac:dyDescent="0.25">
      <c r="L76" s="5"/>
    </row>
    <row r="77" spans="12:12" s="2" customFormat="1" ht="2.1" customHeight="1" x14ac:dyDescent="0.25">
      <c r="L77" s="5"/>
    </row>
    <row r="78" spans="12:12" s="2" customFormat="1" ht="2.1" customHeight="1" x14ac:dyDescent="0.25">
      <c r="L78" s="5"/>
    </row>
    <row r="79" spans="12:12" s="2" customFormat="1" ht="2.1" customHeight="1" x14ac:dyDescent="0.25">
      <c r="L79" s="5"/>
    </row>
    <row r="80" spans="12:12" s="2" customFormat="1" ht="2.1" customHeight="1" x14ac:dyDescent="0.25">
      <c r="L80" s="5"/>
    </row>
    <row r="81" spans="2:71" s="2" customFormat="1" ht="2.1" customHeight="1" x14ac:dyDescent="0.25">
      <c r="L81" s="5"/>
    </row>
    <row r="82" spans="2:71" s="2" customFormat="1" ht="2.1" customHeight="1" x14ac:dyDescent="0.25">
      <c r="L82" s="5"/>
    </row>
    <row r="83" spans="2:71" s="2" customFormat="1" ht="2.1" customHeight="1" x14ac:dyDescent="0.25">
      <c r="L83" s="5"/>
    </row>
    <row r="84" spans="2:71" s="2" customFormat="1" ht="2.1" customHeight="1" x14ac:dyDescent="0.25">
      <c r="L84" s="5"/>
    </row>
    <row r="85" spans="2:71" s="2" customFormat="1" ht="2.1" customHeight="1" x14ac:dyDescent="0.25">
      <c r="L85" s="5"/>
    </row>
    <row r="86" spans="2:71" s="2" customFormat="1" ht="2.1" customHeight="1" x14ac:dyDescent="0.25">
      <c r="L86" s="5"/>
    </row>
    <row r="87" spans="2:71" s="2" customFormat="1" ht="2.1" customHeight="1" x14ac:dyDescent="0.25">
      <c r="L87" s="5"/>
    </row>
    <row r="88" spans="2:71" s="2" customFormat="1" ht="2.1" customHeight="1" x14ac:dyDescent="0.25">
      <c r="L88" s="5"/>
    </row>
    <row r="89" spans="2:71" s="2" customFormat="1" ht="2.1" customHeight="1" x14ac:dyDescent="0.25">
      <c r="L89" s="5"/>
    </row>
    <row r="90" spans="2:71" s="2" customFormat="1" ht="2.1" customHeight="1" x14ac:dyDescent="0.25">
      <c r="L90" s="5"/>
    </row>
    <row r="91" spans="2:71" s="2" customFormat="1" ht="2.1" customHeight="1" x14ac:dyDescent="0.25">
      <c r="L91" s="5"/>
    </row>
    <row r="92" spans="2:71" s="2" customFormat="1" ht="2.1" customHeight="1" x14ac:dyDescent="0.25">
      <c r="L92" s="5"/>
    </row>
    <row r="93" spans="2:71" s="2" customFormat="1" ht="2.1" customHeight="1" x14ac:dyDescent="0.25">
      <c r="L93" s="5"/>
    </row>
    <row r="94" spans="2:71" s="2" customFormat="1" ht="157.5" hidden="1" customHeight="1" x14ac:dyDescent="0.25">
      <c r="L94" s="5"/>
    </row>
    <row r="95" spans="2:71" s="2" customFormat="1" ht="21.95" hidden="1" customHeight="1" x14ac:dyDescent="0.25">
      <c r="B95" s="2" t="s">
        <v>44</v>
      </c>
      <c r="C95" s="2">
        <v>0</v>
      </c>
      <c r="L95" s="5"/>
      <c r="N95" s="2" t="s">
        <v>36</v>
      </c>
      <c r="O95" s="2">
        <v>1</v>
      </c>
    </row>
    <row r="96" spans="2:71" s="2" customFormat="1" ht="21.95" hidden="1" customHeight="1" x14ac:dyDescent="0.25">
      <c r="B96" s="2" t="s">
        <v>31</v>
      </c>
      <c r="C96" s="2">
        <v>1</v>
      </c>
      <c r="L96" s="5"/>
      <c r="N96" s="2" t="s">
        <v>37</v>
      </c>
      <c r="O96" s="2">
        <v>2</v>
      </c>
      <c r="AB96" s="28" t="s">
        <v>47</v>
      </c>
      <c r="AC96" s="81" t="s">
        <v>48</v>
      </c>
      <c r="AD96" s="81"/>
      <c r="AE96" s="81"/>
      <c r="AF96" s="81"/>
      <c r="AG96" s="25"/>
      <c r="AH96" s="28" t="s">
        <v>47</v>
      </c>
      <c r="AI96" s="81" t="s">
        <v>48</v>
      </c>
      <c r="AJ96" s="81"/>
      <c r="AK96" s="81"/>
      <c r="AL96" s="81"/>
      <c r="AM96" s="25"/>
      <c r="AN96" s="28" t="s">
        <v>47</v>
      </c>
      <c r="AO96" s="81" t="s">
        <v>48</v>
      </c>
      <c r="AP96" s="81"/>
      <c r="AQ96" s="81"/>
      <c r="AR96" s="81"/>
      <c r="AU96" s="29" t="s">
        <v>50</v>
      </c>
      <c r="AV96" s="88" t="s">
        <v>51</v>
      </c>
      <c r="AW96" s="89"/>
      <c r="AX96" s="90"/>
      <c r="AY96" s="25"/>
      <c r="AZ96" s="29" t="s">
        <v>50</v>
      </c>
      <c r="BA96" s="88" t="s">
        <v>51</v>
      </c>
      <c r="BB96" s="89"/>
      <c r="BC96" s="90"/>
      <c r="BF96" s="25"/>
      <c r="BG96" s="25"/>
      <c r="BH96" s="82" t="s">
        <v>53</v>
      </c>
      <c r="BI96" s="83"/>
      <c r="BJ96" s="83"/>
      <c r="BK96" s="83"/>
      <c r="BL96" s="83"/>
      <c r="BM96" s="83"/>
      <c r="BN96" s="83"/>
      <c r="BO96" s="83"/>
      <c r="BP96" s="83"/>
      <c r="BQ96" s="83"/>
      <c r="BR96" s="83"/>
      <c r="BS96" s="84"/>
    </row>
    <row r="97" spans="2:71" s="2" customFormat="1" ht="21.95" hidden="1" customHeight="1" x14ac:dyDescent="0.25">
      <c r="B97" s="2" t="s">
        <v>32</v>
      </c>
      <c r="C97" s="2">
        <v>2</v>
      </c>
      <c r="L97" s="5"/>
      <c r="N97" s="2" t="s">
        <v>38</v>
      </c>
      <c r="O97" s="2">
        <v>3</v>
      </c>
      <c r="AB97" s="28"/>
      <c r="AC97" s="26">
        <v>1</v>
      </c>
      <c r="AD97" s="26">
        <v>2</v>
      </c>
      <c r="AE97" s="26">
        <v>3</v>
      </c>
      <c r="AF97" s="26">
        <v>4</v>
      </c>
      <c r="AG97" s="25"/>
      <c r="AH97" s="28"/>
      <c r="AI97" s="26">
        <v>1</v>
      </c>
      <c r="AJ97" s="26">
        <v>2</v>
      </c>
      <c r="AK97" s="26">
        <v>3</v>
      </c>
      <c r="AL97" s="26">
        <v>4</v>
      </c>
      <c r="AM97" s="25"/>
      <c r="AN97" s="28"/>
      <c r="AO97" s="26">
        <v>1</v>
      </c>
      <c r="AP97" s="26">
        <v>2</v>
      </c>
      <c r="AQ97" s="26">
        <v>3</v>
      </c>
      <c r="AR97" s="26">
        <v>4</v>
      </c>
      <c r="AU97" s="29"/>
      <c r="AV97" s="30">
        <v>1</v>
      </c>
      <c r="AW97" s="30">
        <v>2</v>
      </c>
      <c r="AX97" s="30">
        <v>3</v>
      </c>
      <c r="AY97" s="25"/>
      <c r="AZ97" s="29"/>
      <c r="BA97" s="30">
        <v>1</v>
      </c>
      <c r="BB97" s="30">
        <v>2</v>
      </c>
      <c r="BC97" s="30">
        <v>3</v>
      </c>
      <c r="BF97" s="25"/>
      <c r="BG97" s="25"/>
      <c r="BH97" s="32">
        <v>1</v>
      </c>
      <c r="BI97" s="32">
        <v>2</v>
      </c>
      <c r="BJ97" s="32">
        <v>3</v>
      </c>
      <c r="BK97" s="32">
        <v>4</v>
      </c>
      <c r="BL97" s="32">
        <v>5</v>
      </c>
      <c r="BM97" s="32">
        <v>6</v>
      </c>
      <c r="BN97" s="32">
        <v>7</v>
      </c>
      <c r="BO97" s="32">
        <v>8</v>
      </c>
      <c r="BP97" s="32">
        <v>9</v>
      </c>
      <c r="BQ97" s="32">
        <v>10</v>
      </c>
      <c r="BR97" s="32">
        <v>11</v>
      </c>
      <c r="BS97" s="32">
        <v>12</v>
      </c>
    </row>
    <row r="98" spans="2:71" s="2" customFormat="1" ht="21.95" hidden="1" customHeight="1" x14ac:dyDescent="0.25">
      <c r="L98" s="5"/>
      <c r="N98" s="2" t="s">
        <v>39</v>
      </c>
      <c r="O98" s="2">
        <v>4</v>
      </c>
      <c r="AB98" s="28">
        <v>1</v>
      </c>
      <c r="AC98" s="27">
        <v>1</v>
      </c>
      <c r="AD98" s="27">
        <v>2</v>
      </c>
      <c r="AE98" s="27">
        <v>3</v>
      </c>
      <c r="AF98" s="27">
        <v>4</v>
      </c>
      <c r="AG98" s="25"/>
      <c r="AH98" s="28">
        <v>1</v>
      </c>
      <c r="AI98" s="27">
        <v>1</v>
      </c>
      <c r="AJ98" s="27">
        <v>2</v>
      </c>
      <c r="AK98" s="27">
        <v>3</v>
      </c>
      <c r="AL98" s="27">
        <v>4</v>
      </c>
      <c r="AM98" s="25"/>
      <c r="AN98" s="28">
        <v>1</v>
      </c>
      <c r="AO98" s="27">
        <v>3</v>
      </c>
      <c r="AP98" s="27">
        <v>3</v>
      </c>
      <c r="AQ98" s="27">
        <v>5</v>
      </c>
      <c r="AR98" s="27">
        <v>6</v>
      </c>
      <c r="AU98" s="29">
        <v>1</v>
      </c>
      <c r="AV98" s="27">
        <v>1</v>
      </c>
      <c r="AW98" s="27">
        <v>2</v>
      </c>
      <c r="AX98" s="27">
        <v>2</v>
      </c>
      <c r="AY98" s="25"/>
      <c r="AZ98" s="29">
        <v>1</v>
      </c>
      <c r="BA98" s="27">
        <v>1</v>
      </c>
      <c r="BB98" s="27">
        <v>2</v>
      </c>
      <c r="BC98" s="27">
        <v>3</v>
      </c>
      <c r="BF98" s="85" t="s">
        <v>57</v>
      </c>
      <c r="BG98" s="31">
        <v>1</v>
      </c>
      <c r="BH98" s="27">
        <v>1</v>
      </c>
      <c r="BI98" s="27">
        <v>1</v>
      </c>
      <c r="BJ98" s="27">
        <v>1</v>
      </c>
      <c r="BK98" s="27">
        <v>2</v>
      </c>
      <c r="BL98" s="27">
        <v>3</v>
      </c>
      <c r="BM98" s="27">
        <v>3</v>
      </c>
      <c r="BN98" s="27">
        <v>4</v>
      </c>
      <c r="BO98" s="27">
        <v>5</v>
      </c>
      <c r="BP98" s="27">
        <v>6</v>
      </c>
      <c r="BQ98" s="27">
        <v>7</v>
      </c>
      <c r="BR98" s="27">
        <v>7</v>
      </c>
      <c r="BS98" s="27">
        <v>7</v>
      </c>
    </row>
    <row r="99" spans="2:71" s="2" customFormat="1" ht="21.95" hidden="1" customHeight="1" x14ac:dyDescent="0.25">
      <c r="L99" s="5"/>
      <c r="AB99" s="28">
        <v>2</v>
      </c>
      <c r="AC99" s="27">
        <v>2</v>
      </c>
      <c r="AD99" s="27">
        <v>3</v>
      </c>
      <c r="AE99" s="27">
        <v>4</v>
      </c>
      <c r="AF99" s="27">
        <v>5</v>
      </c>
      <c r="AG99" s="25"/>
      <c r="AH99" s="28">
        <v>2</v>
      </c>
      <c r="AI99" s="27">
        <v>3</v>
      </c>
      <c r="AJ99" s="27">
        <v>4</v>
      </c>
      <c r="AK99" s="27">
        <v>5</v>
      </c>
      <c r="AL99" s="27">
        <v>6</v>
      </c>
      <c r="AM99" s="25"/>
      <c r="AN99" s="28">
        <v>2</v>
      </c>
      <c r="AO99" s="27">
        <v>4</v>
      </c>
      <c r="AP99" s="27">
        <v>5</v>
      </c>
      <c r="AQ99" s="27">
        <v>6</v>
      </c>
      <c r="AR99" s="27">
        <v>7</v>
      </c>
      <c r="AU99" s="29">
        <v>2</v>
      </c>
      <c r="AV99" s="27">
        <v>1</v>
      </c>
      <c r="AW99" s="27">
        <v>2</v>
      </c>
      <c r="AX99" s="27">
        <v>3</v>
      </c>
      <c r="AY99" s="25"/>
      <c r="AZ99" s="29">
        <v>2</v>
      </c>
      <c r="BA99" s="27">
        <v>2</v>
      </c>
      <c r="BB99" s="27">
        <v>3</v>
      </c>
      <c r="BC99" s="27">
        <v>4</v>
      </c>
      <c r="BF99" s="86"/>
      <c r="BG99" s="31">
        <v>2</v>
      </c>
      <c r="BH99" s="27">
        <v>2</v>
      </c>
      <c r="BI99" s="27">
        <v>2</v>
      </c>
      <c r="BJ99" s="27">
        <v>2</v>
      </c>
      <c r="BK99" s="27">
        <v>3</v>
      </c>
      <c r="BL99" s="27">
        <v>4</v>
      </c>
      <c r="BM99" s="27">
        <v>4</v>
      </c>
      <c r="BN99" s="27">
        <v>5</v>
      </c>
      <c r="BO99" s="27">
        <v>6</v>
      </c>
      <c r="BP99" s="27">
        <v>6</v>
      </c>
      <c r="BQ99" s="27">
        <v>7</v>
      </c>
      <c r="BR99" s="27">
        <v>7</v>
      </c>
      <c r="BS99" s="27">
        <v>8</v>
      </c>
    </row>
    <row r="100" spans="2:71" s="2" customFormat="1" ht="21.95" hidden="1" customHeight="1" x14ac:dyDescent="0.25">
      <c r="C100" s="2">
        <v>0</v>
      </c>
      <c r="AB100" s="28">
        <v>3</v>
      </c>
      <c r="AC100" s="27">
        <v>2</v>
      </c>
      <c r="AD100" s="27">
        <v>4</v>
      </c>
      <c r="AE100" s="27">
        <v>5</v>
      </c>
      <c r="AF100" s="27">
        <v>6</v>
      </c>
      <c r="AG100" s="25"/>
      <c r="AH100" s="28">
        <v>3</v>
      </c>
      <c r="AI100" s="27">
        <v>4</v>
      </c>
      <c r="AJ100" s="27">
        <v>5</v>
      </c>
      <c r="AK100" s="27">
        <v>6</v>
      </c>
      <c r="AL100" s="27">
        <v>7</v>
      </c>
      <c r="AM100" s="25"/>
      <c r="AN100" s="28">
        <v>3</v>
      </c>
      <c r="AO100" s="27">
        <v>5</v>
      </c>
      <c r="AP100" s="27">
        <v>6</v>
      </c>
      <c r="AQ100" s="27">
        <v>7</v>
      </c>
      <c r="AR100" s="27">
        <v>8</v>
      </c>
      <c r="AU100" s="29">
        <v>3</v>
      </c>
      <c r="AV100" s="27">
        <v>3</v>
      </c>
      <c r="AW100" s="27">
        <v>4</v>
      </c>
      <c r="AX100" s="27">
        <v>5</v>
      </c>
      <c r="AY100" s="25"/>
      <c r="AZ100" s="29">
        <v>3</v>
      </c>
      <c r="BA100" s="27">
        <v>4</v>
      </c>
      <c r="BB100" s="27">
        <v>5</v>
      </c>
      <c r="BC100" s="27">
        <v>5</v>
      </c>
      <c r="BF100" s="86"/>
      <c r="BG100" s="31">
        <v>3</v>
      </c>
      <c r="BH100" s="27">
        <v>2</v>
      </c>
      <c r="BI100" s="27">
        <v>3</v>
      </c>
      <c r="BJ100" s="27">
        <v>3</v>
      </c>
      <c r="BK100" s="27">
        <v>3</v>
      </c>
      <c r="BL100" s="27">
        <v>4</v>
      </c>
      <c r="BM100" s="27">
        <v>5</v>
      </c>
      <c r="BN100" s="27">
        <v>6</v>
      </c>
      <c r="BO100" s="27">
        <v>7</v>
      </c>
      <c r="BP100" s="27">
        <v>7</v>
      </c>
      <c r="BQ100" s="27">
        <v>8</v>
      </c>
      <c r="BR100" s="27">
        <v>8</v>
      </c>
      <c r="BS100" s="27">
        <v>8</v>
      </c>
    </row>
    <row r="101" spans="2:71" s="2" customFormat="1" ht="21.95" hidden="1" customHeight="1" x14ac:dyDescent="0.25">
      <c r="B101" s="2" t="s">
        <v>20</v>
      </c>
      <c r="C101" s="2">
        <v>1</v>
      </c>
      <c r="AB101" s="28">
        <v>4</v>
      </c>
      <c r="AC101" s="27">
        <v>3</v>
      </c>
      <c r="AD101" s="27">
        <v>5</v>
      </c>
      <c r="AE101" s="27">
        <v>6</v>
      </c>
      <c r="AF101" s="27">
        <v>7</v>
      </c>
      <c r="AG101" s="25"/>
      <c r="AH101" s="28">
        <v>4</v>
      </c>
      <c r="AI101" s="27">
        <v>5</v>
      </c>
      <c r="AJ101" s="27">
        <v>6</v>
      </c>
      <c r="AK101" s="27">
        <v>7</v>
      </c>
      <c r="AL101" s="27">
        <v>8</v>
      </c>
      <c r="AM101" s="25"/>
      <c r="AN101" s="28">
        <v>4</v>
      </c>
      <c r="AO101" s="27">
        <v>6</v>
      </c>
      <c r="AP101" s="27">
        <v>7</v>
      </c>
      <c r="AQ101" s="27">
        <v>8</v>
      </c>
      <c r="AR101" s="27">
        <v>9</v>
      </c>
      <c r="AU101" s="29">
        <v>4</v>
      </c>
      <c r="AV101" s="27">
        <v>4</v>
      </c>
      <c r="AW101" s="27">
        <v>5</v>
      </c>
      <c r="AX101" s="27">
        <v>5</v>
      </c>
      <c r="AY101" s="25"/>
      <c r="AZ101" s="29">
        <v>4</v>
      </c>
      <c r="BA101" s="27">
        <v>5</v>
      </c>
      <c r="BB101" s="27">
        <v>6</v>
      </c>
      <c r="BC101" s="27">
        <v>7</v>
      </c>
      <c r="BF101" s="86"/>
      <c r="BG101" s="31">
        <v>4</v>
      </c>
      <c r="BH101" s="27">
        <v>3</v>
      </c>
      <c r="BI101" s="27">
        <v>4</v>
      </c>
      <c r="BJ101" s="27">
        <v>4</v>
      </c>
      <c r="BK101" s="27">
        <v>4</v>
      </c>
      <c r="BL101" s="27">
        <v>5</v>
      </c>
      <c r="BM101" s="27">
        <v>6</v>
      </c>
      <c r="BN101" s="27">
        <v>7</v>
      </c>
      <c r="BO101" s="27">
        <v>8</v>
      </c>
      <c r="BP101" s="27">
        <v>8</v>
      </c>
      <c r="BQ101" s="27">
        <v>9</v>
      </c>
      <c r="BR101" s="27">
        <v>9</v>
      </c>
      <c r="BS101" s="27">
        <v>9</v>
      </c>
    </row>
    <row r="102" spans="2:71" s="2" customFormat="1" ht="21.95" hidden="1" customHeight="1" x14ac:dyDescent="0.25">
      <c r="B102" s="2" t="s">
        <v>33</v>
      </c>
      <c r="C102" s="2">
        <v>2</v>
      </c>
      <c r="N102" s="2" t="s">
        <v>40</v>
      </c>
      <c r="O102" s="2">
        <v>1</v>
      </c>
      <c r="AB102" s="28">
        <v>5</v>
      </c>
      <c r="AC102" s="27">
        <v>4</v>
      </c>
      <c r="AD102" s="27">
        <v>6</v>
      </c>
      <c r="AE102" s="27">
        <v>7</v>
      </c>
      <c r="AF102" s="27">
        <v>8</v>
      </c>
      <c r="AG102" s="25"/>
      <c r="AH102" s="28">
        <v>5</v>
      </c>
      <c r="AI102" s="27">
        <v>6</v>
      </c>
      <c r="AJ102" s="27">
        <v>7</v>
      </c>
      <c r="AK102" s="27">
        <v>8</v>
      </c>
      <c r="AL102" s="27">
        <v>9</v>
      </c>
      <c r="AM102" s="25"/>
      <c r="AN102" s="28">
        <v>5</v>
      </c>
      <c r="AO102" s="27">
        <v>7</v>
      </c>
      <c r="AP102" s="27">
        <v>8</v>
      </c>
      <c r="AQ102" s="27">
        <v>9</v>
      </c>
      <c r="AR102" s="27">
        <v>9</v>
      </c>
      <c r="AU102" s="29">
        <v>5</v>
      </c>
      <c r="AV102" s="27">
        <v>6</v>
      </c>
      <c r="AW102" s="27">
        <v>7</v>
      </c>
      <c r="AX102" s="27">
        <v>8</v>
      </c>
      <c r="AY102" s="25"/>
      <c r="AZ102" s="29">
        <v>5</v>
      </c>
      <c r="BA102" s="27">
        <v>7</v>
      </c>
      <c r="BB102" s="27">
        <v>8</v>
      </c>
      <c r="BC102" s="27">
        <v>8</v>
      </c>
      <c r="BF102" s="86"/>
      <c r="BG102" s="31">
        <v>5</v>
      </c>
      <c r="BH102" s="27">
        <v>4</v>
      </c>
      <c r="BI102" s="27">
        <v>4</v>
      </c>
      <c r="BJ102" s="27">
        <v>4</v>
      </c>
      <c r="BK102" s="27">
        <v>5</v>
      </c>
      <c r="BL102" s="27">
        <v>6</v>
      </c>
      <c r="BM102" s="27">
        <v>7</v>
      </c>
      <c r="BN102" s="27">
        <v>8</v>
      </c>
      <c r="BO102" s="27">
        <v>8</v>
      </c>
      <c r="BP102" s="27">
        <v>9</v>
      </c>
      <c r="BQ102" s="27">
        <v>9</v>
      </c>
      <c r="BR102" s="27">
        <v>9</v>
      </c>
      <c r="BS102" s="27">
        <v>9</v>
      </c>
    </row>
    <row r="103" spans="2:71" s="2" customFormat="1" ht="21.95" hidden="1" customHeight="1" x14ac:dyDescent="0.25">
      <c r="B103" s="2" t="s">
        <v>34</v>
      </c>
      <c r="C103" s="2">
        <v>3</v>
      </c>
      <c r="N103" s="2" t="s">
        <v>77</v>
      </c>
      <c r="O103" s="2">
        <v>2</v>
      </c>
      <c r="AU103" s="29">
        <v>6</v>
      </c>
      <c r="AV103" s="27">
        <v>7</v>
      </c>
      <c r="AW103" s="27">
        <v>8</v>
      </c>
      <c r="AX103" s="27">
        <v>8</v>
      </c>
      <c r="AY103" s="25"/>
      <c r="AZ103" s="29">
        <v>6</v>
      </c>
      <c r="BA103" s="27">
        <v>8</v>
      </c>
      <c r="BB103" s="27">
        <v>9</v>
      </c>
      <c r="BC103" s="27">
        <v>9</v>
      </c>
      <c r="BF103" s="86"/>
      <c r="BG103" s="31">
        <v>6</v>
      </c>
      <c r="BH103" s="27">
        <v>6</v>
      </c>
      <c r="BI103" s="27">
        <v>6</v>
      </c>
      <c r="BJ103" s="27">
        <v>6</v>
      </c>
      <c r="BK103" s="27">
        <v>7</v>
      </c>
      <c r="BL103" s="27">
        <v>8</v>
      </c>
      <c r="BM103" s="27">
        <v>8</v>
      </c>
      <c r="BN103" s="27">
        <v>9</v>
      </c>
      <c r="BO103" s="27">
        <v>9</v>
      </c>
      <c r="BP103" s="27">
        <v>10</v>
      </c>
      <c r="BQ103" s="27">
        <v>10</v>
      </c>
      <c r="BR103" s="27">
        <v>10</v>
      </c>
      <c r="BS103" s="27">
        <v>10</v>
      </c>
    </row>
    <row r="104" spans="2:71" s="2" customFormat="1" ht="21.95" hidden="1" customHeight="1" x14ac:dyDescent="0.25">
      <c r="B104" s="2" t="s">
        <v>35</v>
      </c>
      <c r="C104" s="2">
        <v>4</v>
      </c>
      <c r="N104" s="2" t="s">
        <v>41</v>
      </c>
      <c r="O104" s="2">
        <v>2</v>
      </c>
      <c r="BF104" s="86"/>
      <c r="BG104" s="31">
        <v>7</v>
      </c>
      <c r="BH104" s="27">
        <v>7</v>
      </c>
      <c r="BI104" s="27">
        <v>7</v>
      </c>
      <c r="BJ104" s="27">
        <v>7</v>
      </c>
      <c r="BK104" s="27">
        <v>8</v>
      </c>
      <c r="BL104" s="27">
        <v>9</v>
      </c>
      <c r="BM104" s="27">
        <v>9</v>
      </c>
      <c r="BN104" s="27">
        <v>9</v>
      </c>
      <c r="BO104" s="27">
        <v>10</v>
      </c>
      <c r="BP104" s="27">
        <v>10</v>
      </c>
      <c r="BQ104" s="27">
        <v>11</v>
      </c>
      <c r="BR104" s="27">
        <v>11</v>
      </c>
      <c r="BS104" s="27">
        <v>11</v>
      </c>
    </row>
    <row r="105" spans="2:71" s="2" customFormat="1" ht="21.95" hidden="1" customHeight="1" x14ac:dyDescent="0.25">
      <c r="BF105" s="86"/>
      <c r="BG105" s="31">
        <v>8</v>
      </c>
      <c r="BH105" s="27">
        <v>8</v>
      </c>
      <c r="BI105" s="27">
        <v>8</v>
      </c>
      <c r="BJ105" s="27">
        <v>8</v>
      </c>
      <c r="BK105" s="27">
        <v>9</v>
      </c>
      <c r="BL105" s="27">
        <v>10</v>
      </c>
      <c r="BM105" s="27">
        <v>10</v>
      </c>
      <c r="BN105" s="27">
        <v>10</v>
      </c>
      <c r="BO105" s="27">
        <v>10</v>
      </c>
      <c r="BP105" s="27">
        <v>10</v>
      </c>
      <c r="BQ105" s="27">
        <v>11</v>
      </c>
      <c r="BR105" s="27">
        <v>11</v>
      </c>
      <c r="BS105" s="27">
        <v>11</v>
      </c>
    </row>
    <row r="106" spans="2:71" s="2" customFormat="1" ht="21.95" hidden="1" customHeight="1" x14ac:dyDescent="0.25">
      <c r="N106" s="2" t="s">
        <v>42</v>
      </c>
      <c r="O106" s="2">
        <v>1</v>
      </c>
      <c r="BF106" s="86"/>
      <c r="BG106" s="31">
        <v>9</v>
      </c>
      <c r="BH106" s="27">
        <v>9</v>
      </c>
      <c r="BI106" s="27">
        <v>9</v>
      </c>
      <c r="BJ106" s="27">
        <v>9</v>
      </c>
      <c r="BK106" s="27">
        <v>10</v>
      </c>
      <c r="BL106" s="27">
        <v>10</v>
      </c>
      <c r="BM106" s="27">
        <v>10</v>
      </c>
      <c r="BN106" s="27">
        <v>11</v>
      </c>
      <c r="BO106" s="27">
        <v>11</v>
      </c>
      <c r="BP106" s="27">
        <v>11</v>
      </c>
      <c r="BQ106" s="27">
        <v>12</v>
      </c>
      <c r="BR106" s="27">
        <v>12</v>
      </c>
      <c r="BS106" s="27">
        <v>12</v>
      </c>
    </row>
    <row r="107" spans="2:71" s="2" customFormat="1" ht="21.95" hidden="1" customHeight="1" x14ac:dyDescent="0.25">
      <c r="C107" s="2">
        <v>0</v>
      </c>
      <c r="N107" s="2" t="s">
        <v>43</v>
      </c>
      <c r="O107" s="2">
        <v>2</v>
      </c>
      <c r="BF107" s="86"/>
      <c r="BG107" s="31">
        <v>10</v>
      </c>
      <c r="BH107" s="27">
        <v>10</v>
      </c>
      <c r="BI107" s="27">
        <v>10</v>
      </c>
      <c r="BJ107" s="27">
        <v>10</v>
      </c>
      <c r="BK107" s="27">
        <v>11</v>
      </c>
      <c r="BL107" s="27">
        <v>11</v>
      </c>
      <c r="BM107" s="27">
        <v>11</v>
      </c>
      <c r="BN107" s="27">
        <v>11</v>
      </c>
      <c r="BO107" s="27">
        <v>12</v>
      </c>
      <c r="BP107" s="27">
        <v>12</v>
      </c>
      <c r="BQ107" s="27">
        <v>12</v>
      </c>
      <c r="BR107" s="27">
        <v>12</v>
      </c>
      <c r="BS107" s="27">
        <v>12</v>
      </c>
    </row>
    <row r="108" spans="2:71" s="2" customFormat="1" ht="44.25" hidden="1" customHeight="1" x14ac:dyDescent="0.25">
      <c r="B108" s="17" t="s">
        <v>21</v>
      </c>
      <c r="C108" s="2">
        <v>1</v>
      </c>
      <c r="BF108" s="86"/>
      <c r="BG108" s="31">
        <v>11</v>
      </c>
      <c r="BH108" s="27">
        <v>11</v>
      </c>
      <c r="BI108" s="27">
        <v>11</v>
      </c>
      <c r="BJ108" s="27">
        <v>11</v>
      </c>
      <c r="BK108" s="27">
        <v>11</v>
      </c>
      <c r="BL108" s="27">
        <v>12</v>
      </c>
      <c r="BM108" s="27">
        <v>12</v>
      </c>
      <c r="BN108" s="27">
        <v>12</v>
      </c>
      <c r="BO108" s="27">
        <v>12</v>
      </c>
      <c r="BP108" s="27">
        <v>12</v>
      </c>
      <c r="BQ108" s="27">
        <v>12</v>
      </c>
      <c r="BR108" s="27">
        <v>12</v>
      </c>
      <c r="BS108" s="27">
        <v>12</v>
      </c>
    </row>
    <row r="109" spans="2:71" s="2" customFormat="1" ht="51" hidden="1" customHeight="1" x14ac:dyDescent="0.25">
      <c r="B109" s="17" t="s">
        <v>22</v>
      </c>
      <c r="C109" s="2">
        <v>2</v>
      </c>
      <c r="BF109" s="87"/>
      <c r="BG109" s="31">
        <v>12</v>
      </c>
      <c r="BH109" s="27">
        <v>12</v>
      </c>
      <c r="BI109" s="27">
        <v>12</v>
      </c>
      <c r="BJ109" s="27">
        <v>12</v>
      </c>
      <c r="BK109" s="27">
        <v>12</v>
      </c>
      <c r="BL109" s="27">
        <v>12</v>
      </c>
      <c r="BM109" s="27">
        <v>12</v>
      </c>
      <c r="BN109" s="27">
        <v>12</v>
      </c>
      <c r="BO109" s="27">
        <v>12</v>
      </c>
      <c r="BP109" s="27">
        <v>12</v>
      </c>
      <c r="BQ109" s="27">
        <v>12</v>
      </c>
      <c r="BR109" s="27">
        <v>12</v>
      </c>
      <c r="BS109" s="27">
        <v>12</v>
      </c>
    </row>
    <row r="110" spans="2:71" s="2" customFormat="1" ht="37.5" hidden="1" customHeight="1" x14ac:dyDescent="0.25">
      <c r="N110" s="18" t="s">
        <v>26</v>
      </c>
      <c r="O110" s="7">
        <v>0</v>
      </c>
    </row>
    <row r="111" spans="2:71" s="2" customFormat="1" ht="68.25" hidden="1" customHeight="1" x14ac:dyDescent="0.25">
      <c r="N111" s="18" t="s">
        <v>27</v>
      </c>
      <c r="O111" s="7">
        <v>1</v>
      </c>
    </row>
    <row r="112" spans="2:71" s="2" customFormat="1" ht="44.25" hidden="1" customHeight="1" x14ac:dyDescent="0.25">
      <c r="N112" s="18" t="s">
        <v>28</v>
      </c>
      <c r="O112" s="7">
        <v>2</v>
      </c>
    </row>
    <row r="113" spans="2:15" s="2" customFormat="1" ht="56.25" hidden="1" customHeight="1" x14ac:dyDescent="0.25">
      <c r="N113" s="18" t="s">
        <v>29</v>
      </c>
      <c r="O113" s="7">
        <v>3</v>
      </c>
    </row>
    <row r="114" spans="2:15" s="2" customFormat="1" ht="21.95" hidden="1" customHeight="1" x14ac:dyDescent="0.25"/>
    <row r="115" spans="2:15" s="2" customFormat="1" ht="21.95" hidden="1" customHeight="1" x14ac:dyDescent="0.25"/>
    <row r="116" spans="2:15" s="2" customFormat="1" ht="21.95" hidden="1" customHeight="1" x14ac:dyDescent="0.25">
      <c r="B116" s="2" t="s">
        <v>23</v>
      </c>
      <c r="C116" s="2">
        <v>0</v>
      </c>
    </row>
    <row r="117" spans="2:15" s="2" customFormat="1" ht="21.95" hidden="1" customHeight="1" x14ac:dyDescent="0.25">
      <c r="B117" s="2" t="s">
        <v>24</v>
      </c>
      <c r="C117" s="2">
        <v>1</v>
      </c>
    </row>
    <row r="118" spans="2:15" s="2" customFormat="1" ht="21.95" hidden="1" customHeight="1" x14ac:dyDescent="0.25">
      <c r="B118" s="2" t="s">
        <v>25</v>
      </c>
      <c r="C118" s="2">
        <v>2</v>
      </c>
    </row>
    <row r="119" spans="2:15" s="2" customFormat="1" ht="21.95" hidden="1" customHeight="1" x14ac:dyDescent="0.25"/>
    <row r="120" spans="2:15" s="2" customFormat="1" ht="21.95" hidden="1" customHeight="1" x14ac:dyDescent="0.25"/>
    <row r="121" spans="2:15" s="2" customFormat="1" ht="21.95" hidden="1" customHeight="1" x14ac:dyDescent="0.25">
      <c r="B121" s="2" t="s">
        <v>18</v>
      </c>
    </row>
    <row r="122" spans="2:15" s="2" customFormat="1" ht="21.95" hidden="1" customHeight="1" x14ac:dyDescent="0.25">
      <c r="B122" s="2" t="s">
        <v>19</v>
      </c>
    </row>
    <row r="123" spans="2:15" s="2" customFormat="1" ht="21.95" hidden="1" customHeight="1" x14ac:dyDescent="0.25"/>
    <row r="124" spans="2:15" s="2" customFormat="1" ht="21.95" hidden="1" customHeight="1" x14ac:dyDescent="0.25"/>
    <row r="125" spans="2:15" s="2" customFormat="1" ht="21.95" hidden="1" customHeight="1" x14ac:dyDescent="0.25">
      <c r="B125" s="2" t="s">
        <v>61</v>
      </c>
      <c r="C125" s="2">
        <v>0</v>
      </c>
    </row>
    <row r="126" spans="2:15" s="2" customFormat="1" ht="21.95" hidden="1" customHeight="1" x14ac:dyDescent="0.25">
      <c r="B126" s="2" t="s">
        <v>45</v>
      </c>
      <c r="C126" s="2">
        <v>1</v>
      </c>
    </row>
    <row r="127" spans="2:15" s="2" customFormat="1" ht="21.95" hidden="1" customHeight="1" x14ac:dyDescent="0.25">
      <c r="B127" s="2" t="s">
        <v>46</v>
      </c>
      <c r="C127" s="2">
        <v>2</v>
      </c>
    </row>
    <row r="128" spans="2:15" s="2" customFormat="1" ht="21.95" hidden="1" customHeight="1" x14ac:dyDescent="0.25"/>
    <row r="129" spans="3:3" s="2" customFormat="1" ht="21.95" hidden="1" customHeight="1" x14ac:dyDescent="0.25">
      <c r="C129" s="2">
        <v>1</v>
      </c>
    </row>
    <row r="130" spans="3:3" s="2" customFormat="1" ht="21.95" hidden="1" customHeight="1" x14ac:dyDescent="0.25">
      <c r="C130" s="2">
        <v>2</v>
      </c>
    </row>
    <row r="131" spans="3:3" s="2" customFormat="1" ht="21.95" hidden="1" customHeight="1" x14ac:dyDescent="0.25">
      <c r="C131" s="2">
        <v>3</v>
      </c>
    </row>
    <row r="132" spans="3:3" s="2" customFormat="1" ht="21.95" hidden="1" customHeight="1" x14ac:dyDescent="0.25"/>
    <row r="133" spans="3:3" s="2" customFormat="1" ht="21.95" hidden="1" customHeight="1" x14ac:dyDescent="0.25"/>
    <row r="134" spans="3:3" ht="21.95" hidden="1" customHeight="1" x14ac:dyDescent="0.25"/>
    <row r="135" spans="3:3" ht="21.95" hidden="1" customHeight="1" x14ac:dyDescent="0.25"/>
    <row r="136" spans="3:3" ht="21.95" customHeight="1" x14ac:dyDescent="0.25"/>
    <row r="137" spans="3:3" ht="21.95" customHeight="1" x14ac:dyDescent="0.25"/>
    <row r="138" spans="3:3" ht="21.95" customHeight="1" x14ac:dyDescent="0.25"/>
    <row r="139" spans="3:3" ht="21.95" customHeight="1" x14ac:dyDescent="0.25"/>
    <row r="140" spans="3:3" ht="21.95" customHeight="1" x14ac:dyDescent="0.25"/>
    <row r="141" spans="3:3" ht="21.95" customHeight="1" x14ac:dyDescent="0.25"/>
    <row r="142" spans="3:3" ht="21.95" customHeight="1" x14ac:dyDescent="0.25"/>
    <row r="143" spans="3:3" ht="21.95" customHeight="1" x14ac:dyDescent="0.25"/>
    <row r="144" spans="3:3" ht="21.95" customHeight="1" x14ac:dyDescent="0.25"/>
    <row r="145" ht="21.95" customHeight="1" x14ac:dyDescent="0.25"/>
    <row r="146" ht="21.95" customHeight="1" x14ac:dyDescent="0.25"/>
    <row r="147" ht="21.95" customHeight="1" x14ac:dyDescent="0.25"/>
    <row r="148" ht="21.95" customHeight="1" x14ac:dyDescent="0.25"/>
    <row r="149" ht="21.95" customHeight="1" x14ac:dyDescent="0.25"/>
    <row r="150" ht="21.95" customHeight="1" x14ac:dyDescent="0.25"/>
    <row r="151" ht="21.95" customHeight="1" x14ac:dyDescent="0.25"/>
    <row r="152" ht="21.95" customHeight="1" x14ac:dyDescent="0.25"/>
    <row r="153" ht="21.95" customHeight="1" x14ac:dyDescent="0.25"/>
    <row r="154" ht="21.95" customHeight="1" x14ac:dyDescent="0.25"/>
    <row r="155" ht="21.95" customHeight="1" x14ac:dyDescent="0.25"/>
    <row r="156" ht="21.95" customHeight="1" x14ac:dyDescent="0.25"/>
    <row r="157" ht="21.95" customHeight="1" x14ac:dyDescent="0.25"/>
    <row r="158" ht="21.95" customHeight="1" x14ac:dyDescent="0.25"/>
    <row r="159" ht="21.95" customHeight="1" x14ac:dyDescent="0.25"/>
  </sheetData>
  <sheetProtection algorithmName="SHA-512" hashValue="5ACwe2sOvYXRy5CP540e5QWjH2gibK95qEOofA0fET2laG2jq7M/DGBgF6cbPbPS11bCCBEwfrW9DC53t788Iw==" saltValue="rIuw/jPO6Hcc6n1eLhMukA==" spinCount="100000" sheet="1" objects="1" scenarios="1" selectLockedCells="1"/>
  <mergeCells count="13">
    <mergeCell ref="B12:E12"/>
    <mergeCell ref="N18:X18"/>
    <mergeCell ref="AC96:AF96"/>
    <mergeCell ref="L28:M28"/>
    <mergeCell ref="L31:M31"/>
    <mergeCell ref="N30:N31"/>
    <mergeCell ref="B34:D34"/>
    <mergeCell ref="AI96:AL96"/>
    <mergeCell ref="AO96:AR96"/>
    <mergeCell ref="BH96:BS96"/>
    <mergeCell ref="BF98:BF109"/>
    <mergeCell ref="AV96:AX96"/>
    <mergeCell ref="BA96:BC96"/>
  </mergeCells>
  <dataValidations count="12">
    <dataValidation type="list" allowBlank="1" showInputMessage="1" showErrorMessage="1" sqref="H12" xr:uid="{00000000-0002-0000-0000-000000000000}">
      <formula1>$B$125:$B$127</formula1>
    </dataValidation>
    <dataValidation type="list" allowBlank="1" showInputMessage="1" showErrorMessage="1" sqref="E6 Q12 W6 T6 Q6 E18 E9" xr:uid="{00000000-0002-0000-0000-000001000000}">
      <formula1>$B$120:$B$122</formula1>
    </dataValidation>
    <dataValidation type="list" allowBlank="1" showInputMessage="1" showErrorMessage="1" sqref="B18" xr:uid="{00000000-0002-0000-0000-000002000000}">
      <formula1>$B$115:$B$118</formula1>
    </dataValidation>
    <dataValidation type="list" allowBlank="1" showInputMessage="1" showErrorMessage="1" sqref="B12" xr:uid="{00000000-0002-0000-0000-000003000000}">
      <formula1>$B$107:$B$109</formula1>
    </dataValidation>
    <dataValidation type="list" allowBlank="1" showInputMessage="1" showErrorMessage="1" sqref="B9" xr:uid="{00000000-0002-0000-0000-000004000000}">
      <formula1>$B$100:$B$105</formula1>
    </dataValidation>
    <dataValidation type="list" allowBlank="1" showInputMessage="1" showErrorMessage="1" sqref="B6" xr:uid="{00000000-0002-0000-0000-000005000000}">
      <formula1>$B$96:$B$97</formula1>
    </dataValidation>
    <dataValidation type="list" allowBlank="1" showInputMessage="1" showErrorMessage="1" sqref="Q13" xr:uid="{00000000-0002-0000-0000-000006000000}">
      <formula1>$B$116:$B$118</formula1>
    </dataValidation>
    <dataValidation type="list" allowBlank="1" showInputMessage="1" showErrorMessage="1" sqref="N12" xr:uid="{00000000-0002-0000-0000-000007000000}">
      <formula1>$N$106:$N$107</formula1>
    </dataValidation>
    <dataValidation type="list" allowBlank="1" showInputMessage="1" showErrorMessage="1" sqref="N9" xr:uid="{00000000-0002-0000-0000-000008000000}">
      <formula1>$N$102:$N$104</formula1>
    </dataValidation>
    <dataValidation type="list" allowBlank="1" showInputMessage="1" showErrorMessage="1" sqref="N6" xr:uid="{00000000-0002-0000-0000-000009000000}">
      <formula1>$N$95:$N$98</formula1>
    </dataValidation>
    <dataValidation type="list" allowBlank="1" showInputMessage="1" showErrorMessage="1" sqref="N18:X18" xr:uid="{00000000-0002-0000-0000-00000A000000}">
      <formula1>$N$110:$N$113</formula1>
    </dataValidation>
    <dataValidation type="list" allowBlank="1" showInputMessage="1" showErrorMessage="1" sqref="D27:J27 G29:J29 E29 E31 G31:J31 E34 H6 H9" xr:uid="{00000000-0002-0000-0000-00000B000000}">
      <formula1>$B$121:$B$122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AI179"/>
  <sheetViews>
    <sheetView workbookViewId="0">
      <selection activeCell="S3" sqref="S3"/>
    </sheetView>
  </sheetViews>
  <sheetFormatPr defaultColWidth="9.140625" defaultRowHeight="15" x14ac:dyDescent="0.25"/>
  <cols>
    <col min="1" max="2" width="3.85546875" style="22" customWidth="1"/>
    <col min="3" max="3" width="10.5703125" style="22" customWidth="1"/>
    <col min="4" max="7" width="9.140625" style="22"/>
    <col min="8" max="8" width="9.42578125" style="22" customWidth="1"/>
    <col min="9" max="18" width="9.140625" style="22"/>
    <col min="19" max="19" width="11.5703125" style="22" customWidth="1"/>
    <col min="20" max="23" width="9.140625" style="22"/>
    <col min="24" max="24" width="10.5703125" style="22" customWidth="1"/>
    <col min="25" max="16384" width="9.140625" style="22"/>
  </cols>
  <sheetData>
    <row r="1" spans="2:35" ht="54.75" customHeight="1" x14ac:dyDescent="0.25">
      <c r="F1" s="33" t="s">
        <v>17</v>
      </c>
    </row>
    <row r="2" spans="2:35" s="24" customFormat="1" ht="54.75" customHeight="1" x14ac:dyDescent="0.25">
      <c r="B2" s="38" t="s">
        <v>58</v>
      </c>
    </row>
    <row r="3" spans="2:35" ht="21.95" customHeight="1" x14ac:dyDescent="0.25"/>
    <row r="4" spans="2:35" ht="21.95" customHeight="1" x14ac:dyDescent="0.25"/>
    <row r="5" spans="2:35" ht="21.95" customHeight="1" x14ac:dyDescent="0.25">
      <c r="C5" s="33" t="s">
        <v>54</v>
      </c>
      <c r="G5"/>
    </row>
    <row r="6" spans="2:35" ht="21.95" customHeight="1" x14ac:dyDescent="0.25"/>
    <row r="7" spans="2:35" ht="15" customHeight="1" x14ac:dyDescent="0.25">
      <c r="D7" s="96" t="s">
        <v>49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8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</row>
    <row r="8" spans="2:35" s="25" customFormat="1" ht="15" customHeight="1" x14ac:dyDescent="0.25">
      <c r="D8" s="35">
        <v>1</v>
      </c>
      <c r="E8" s="35"/>
      <c r="F8" s="35"/>
      <c r="G8" s="35"/>
      <c r="H8" s="35">
        <v>2</v>
      </c>
      <c r="I8" s="35"/>
      <c r="J8" s="35"/>
      <c r="K8" s="35"/>
      <c r="L8" s="35">
        <v>3</v>
      </c>
      <c r="M8" s="35"/>
      <c r="N8" s="35"/>
      <c r="O8" s="35"/>
      <c r="R8" s="43"/>
      <c r="S8" s="43"/>
      <c r="T8" s="102"/>
      <c r="U8" s="102"/>
      <c r="V8" s="102"/>
      <c r="W8" s="102"/>
      <c r="X8" s="43"/>
      <c r="Y8" s="43"/>
      <c r="Z8" s="102"/>
      <c r="AA8" s="102"/>
      <c r="AB8" s="102"/>
      <c r="AC8" s="102"/>
      <c r="AE8" s="28" t="s">
        <v>47</v>
      </c>
      <c r="AF8" s="81" t="s">
        <v>48</v>
      </c>
      <c r="AG8" s="81"/>
      <c r="AH8" s="81"/>
      <c r="AI8" s="81"/>
    </row>
    <row r="9" spans="2:35" s="25" customFormat="1" ht="15" customHeight="1" x14ac:dyDescent="0.25">
      <c r="C9" s="28" t="s">
        <v>47</v>
      </c>
      <c r="D9" s="26">
        <v>1</v>
      </c>
      <c r="E9" s="26">
        <v>2</v>
      </c>
      <c r="F9" s="26">
        <v>3</v>
      </c>
      <c r="G9" s="26">
        <v>4</v>
      </c>
      <c r="H9" s="26">
        <v>1</v>
      </c>
      <c r="I9" s="26">
        <v>2</v>
      </c>
      <c r="J9" s="26">
        <v>3</v>
      </c>
      <c r="K9" s="26">
        <v>4</v>
      </c>
      <c r="L9" s="26">
        <v>1</v>
      </c>
      <c r="M9" s="26">
        <v>2</v>
      </c>
      <c r="N9" s="26">
        <v>3</v>
      </c>
      <c r="O9" s="26">
        <v>4</v>
      </c>
      <c r="P9" s="26" t="s">
        <v>48</v>
      </c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E9" s="39"/>
      <c r="AF9" s="26">
        <v>1</v>
      </c>
      <c r="AG9" s="26">
        <v>2</v>
      </c>
      <c r="AH9" s="26">
        <v>3</v>
      </c>
      <c r="AI9" s="26">
        <v>4</v>
      </c>
    </row>
    <row r="10" spans="2:35" s="25" customFormat="1" ht="15" customHeight="1" x14ac:dyDescent="0.25">
      <c r="C10" s="28">
        <v>1</v>
      </c>
      <c r="D10" s="27">
        <v>1</v>
      </c>
      <c r="E10" s="27">
        <v>2</v>
      </c>
      <c r="F10" s="27">
        <v>3</v>
      </c>
      <c r="G10" s="27">
        <v>4</v>
      </c>
      <c r="H10" s="27">
        <v>1</v>
      </c>
      <c r="I10" s="27">
        <v>2</v>
      </c>
      <c r="J10" s="27">
        <v>3</v>
      </c>
      <c r="K10" s="27">
        <v>4</v>
      </c>
      <c r="L10" s="27">
        <v>3</v>
      </c>
      <c r="M10" s="27">
        <v>3</v>
      </c>
      <c r="N10" s="27">
        <v>5</v>
      </c>
      <c r="O10" s="27">
        <v>6</v>
      </c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E10" s="28">
        <v>1</v>
      </c>
      <c r="AF10" s="27">
        <v>3</v>
      </c>
      <c r="AG10" s="27">
        <v>3</v>
      </c>
      <c r="AH10" s="27">
        <v>5</v>
      </c>
      <c r="AI10" s="27">
        <v>6</v>
      </c>
    </row>
    <row r="11" spans="2:35" s="25" customFormat="1" ht="15" customHeight="1" x14ac:dyDescent="0.25">
      <c r="C11" s="28">
        <v>2</v>
      </c>
      <c r="D11" s="27">
        <v>2</v>
      </c>
      <c r="E11" s="27">
        <v>3</v>
      </c>
      <c r="F11" s="27">
        <v>4</v>
      </c>
      <c r="G11" s="27">
        <v>5</v>
      </c>
      <c r="H11" s="27">
        <v>3</v>
      </c>
      <c r="I11" s="27">
        <v>4</v>
      </c>
      <c r="J11" s="27">
        <v>5</v>
      </c>
      <c r="K11" s="27">
        <v>6</v>
      </c>
      <c r="L11" s="27">
        <v>4</v>
      </c>
      <c r="M11" s="27">
        <v>5</v>
      </c>
      <c r="N11" s="27">
        <v>6</v>
      </c>
      <c r="O11" s="27">
        <v>7</v>
      </c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E11" s="28">
        <v>2</v>
      </c>
      <c r="AF11" s="27">
        <v>4</v>
      </c>
      <c r="AG11" s="27">
        <v>5</v>
      </c>
      <c r="AH11" s="27">
        <v>6</v>
      </c>
      <c r="AI11" s="27">
        <v>7</v>
      </c>
    </row>
    <row r="12" spans="2:35" s="25" customFormat="1" ht="15" customHeight="1" x14ac:dyDescent="0.25">
      <c r="C12" s="28">
        <v>3</v>
      </c>
      <c r="D12" s="27">
        <v>2</v>
      </c>
      <c r="E12" s="27">
        <v>4</v>
      </c>
      <c r="F12" s="27">
        <v>5</v>
      </c>
      <c r="G12" s="27">
        <v>6</v>
      </c>
      <c r="H12" s="27">
        <v>4</v>
      </c>
      <c r="I12" s="27">
        <v>5</v>
      </c>
      <c r="J12" s="27">
        <v>6</v>
      </c>
      <c r="K12" s="27">
        <v>7</v>
      </c>
      <c r="L12" s="27">
        <v>5</v>
      </c>
      <c r="M12" s="27">
        <v>6</v>
      </c>
      <c r="N12" s="27">
        <v>7</v>
      </c>
      <c r="O12" s="27">
        <v>8</v>
      </c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E12" s="28">
        <v>3</v>
      </c>
      <c r="AF12" s="27">
        <v>5</v>
      </c>
      <c r="AG12" s="27">
        <v>6</v>
      </c>
      <c r="AH12" s="27">
        <v>7</v>
      </c>
      <c r="AI12" s="27">
        <v>8</v>
      </c>
    </row>
    <row r="13" spans="2:35" s="25" customFormat="1" ht="15" customHeight="1" x14ac:dyDescent="0.25">
      <c r="C13" s="28">
        <v>4</v>
      </c>
      <c r="D13" s="27">
        <v>3</v>
      </c>
      <c r="E13" s="27">
        <v>5</v>
      </c>
      <c r="F13" s="27">
        <v>6</v>
      </c>
      <c r="G13" s="27">
        <v>7</v>
      </c>
      <c r="H13" s="27">
        <v>5</v>
      </c>
      <c r="I13" s="27">
        <v>6</v>
      </c>
      <c r="J13" s="27">
        <v>7</v>
      </c>
      <c r="K13" s="27">
        <v>8</v>
      </c>
      <c r="L13" s="27">
        <v>6</v>
      </c>
      <c r="M13" s="27">
        <v>7</v>
      </c>
      <c r="N13" s="27">
        <v>8</v>
      </c>
      <c r="O13" s="27">
        <v>9</v>
      </c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E13" s="28">
        <v>4</v>
      </c>
      <c r="AF13" s="27">
        <v>6</v>
      </c>
      <c r="AG13" s="27">
        <v>7</v>
      </c>
      <c r="AH13" s="27">
        <v>8</v>
      </c>
      <c r="AI13" s="27">
        <v>9</v>
      </c>
    </row>
    <row r="14" spans="2:35" s="25" customFormat="1" ht="15" customHeight="1" x14ac:dyDescent="0.25">
      <c r="C14" s="28">
        <v>5</v>
      </c>
      <c r="D14" s="27">
        <v>4</v>
      </c>
      <c r="E14" s="27">
        <v>6</v>
      </c>
      <c r="F14" s="27">
        <v>7</v>
      </c>
      <c r="G14" s="27">
        <v>8</v>
      </c>
      <c r="H14" s="27">
        <v>6</v>
      </c>
      <c r="I14" s="27">
        <v>7</v>
      </c>
      <c r="J14" s="27">
        <v>8</v>
      </c>
      <c r="K14" s="27">
        <v>9</v>
      </c>
      <c r="L14" s="27">
        <v>7</v>
      </c>
      <c r="M14" s="27">
        <v>8</v>
      </c>
      <c r="N14" s="27">
        <v>9</v>
      </c>
      <c r="O14" s="27">
        <v>9</v>
      </c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E14" s="28">
        <v>5</v>
      </c>
      <c r="AF14" s="27">
        <v>7</v>
      </c>
      <c r="AG14" s="27">
        <v>8</v>
      </c>
      <c r="AH14" s="27">
        <v>9</v>
      </c>
      <c r="AI14" s="27">
        <v>9</v>
      </c>
    </row>
    <row r="15" spans="2:35" s="25" customFormat="1" ht="54" customHeight="1" x14ac:dyDescent="0.25"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</row>
    <row r="16" spans="2:35" s="25" customFormat="1" ht="15" customHeight="1" x14ac:dyDescent="0.25"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</row>
    <row r="17" spans="3:29" s="25" customFormat="1" ht="15" customHeight="1" x14ac:dyDescent="0.25">
      <c r="C17" s="21" t="s">
        <v>55</v>
      </c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</row>
    <row r="18" spans="3:29" s="25" customFormat="1" ht="15" customHeight="1" x14ac:dyDescent="0.25"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</row>
    <row r="19" spans="3:29" s="25" customFormat="1" ht="15" customHeight="1" x14ac:dyDescent="0.25">
      <c r="D19" s="99" t="s">
        <v>52</v>
      </c>
      <c r="E19" s="100"/>
      <c r="F19" s="100"/>
      <c r="G19" s="100"/>
      <c r="H19" s="100"/>
      <c r="I19" s="101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</row>
    <row r="20" spans="3:29" s="25" customFormat="1" ht="15" customHeight="1" x14ac:dyDescent="0.25">
      <c r="D20" s="99">
        <v>1</v>
      </c>
      <c r="E20" s="100"/>
      <c r="F20" s="101"/>
      <c r="G20" s="99">
        <v>2</v>
      </c>
      <c r="H20" s="100"/>
      <c r="I20" s="101"/>
      <c r="R20" s="43"/>
      <c r="S20" s="43"/>
      <c r="T20" s="102"/>
      <c r="U20" s="102"/>
      <c r="V20" s="102"/>
      <c r="W20" s="43"/>
      <c r="X20" s="43"/>
      <c r="Y20" s="102"/>
      <c r="Z20" s="102"/>
      <c r="AA20" s="102"/>
      <c r="AB20" s="43"/>
      <c r="AC20" s="43"/>
    </row>
    <row r="21" spans="3:29" s="25" customFormat="1" ht="15" customHeight="1" x14ac:dyDescent="0.25">
      <c r="C21" s="29" t="s">
        <v>50</v>
      </c>
      <c r="D21" s="30">
        <v>1</v>
      </c>
      <c r="E21" s="30">
        <v>2</v>
      </c>
      <c r="F21" s="30">
        <v>3</v>
      </c>
      <c r="G21" s="30">
        <v>1</v>
      </c>
      <c r="H21" s="30">
        <v>2</v>
      </c>
      <c r="I21" s="30">
        <v>3</v>
      </c>
      <c r="J21" s="30" t="s">
        <v>51</v>
      </c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</row>
    <row r="22" spans="3:29" s="25" customFormat="1" ht="15" customHeight="1" x14ac:dyDescent="0.25">
      <c r="C22" s="29">
        <v>1</v>
      </c>
      <c r="D22" s="27">
        <v>1</v>
      </c>
      <c r="E22" s="27">
        <v>2</v>
      </c>
      <c r="F22" s="27">
        <v>2</v>
      </c>
      <c r="G22" s="27">
        <v>1</v>
      </c>
      <c r="H22" s="27">
        <v>2</v>
      </c>
      <c r="I22" s="27">
        <v>3</v>
      </c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</row>
    <row r="23" spans="3:29" s="25" customFormat="1" ht="15" customHeight="1" x14ac:dyDescent="0.25">
      <c r="C23" s="29">
        <v>2</v>
      </c>
      <c r="D23" s="27">
        <v>1</v>
      </c>
      <c r="E23" s="27">
        <v>2</v>
      </c>
      <c r="F23" s="27">
        <v>3</v>
      </c>
      <c r="G23" s="27">
        <v>2</v>
      </c>
      <c r="H23" s="27">
        <v>3</v>
      </c>
      <c r="I23" s="27">
        <v>4</v>
      </c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</row>
    <row r="24" spans="3:29" s="25" customFormat="1" ht="15" customHeight="1" x14ac:dyDescent="0.25">
      <c r="C24" s="29">
        <v>3</v>
      </c>
      <c r="D24" s="27">
        <v>3</v>
      </c>
      <c r="E24" s="27">
        <v>4</v>
      </c>
      <c r="F24" s="27">
        <v>5</v>
      </c>
      <c r="G24" s="27">
        <v>4</v>
      </c>
      <c r="H24" s="27">
        <v>5</v>
      </c>
      <c r="I24" s="27">
        <v>5</v>
      </c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</row>
    <row r="25" spans="3:29" s="25" customFormat="1" ht="15" customHeight="1" x14ac:dyDescent="0.25">
      <c r="C25" s="29">
        <v>4</v>
      </c>
      <c r="D25" s="27">
        <v>4</v>
      </c>
      <c r="E25" s="27">
        <v>5</v>
      </c>
      <c r="F25" s="27">
        <v>5</v>
      </c>
      <c r="G25" s="27">
        <v>5</v>
      </c>
      <c r="H25" s="27">
        <v>6</v>
      </c>
      <c r="I25" s="27">
        <v>7</v>
      </c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</row>
    <row r="26" spans="3:29" s="25" customFormat="1" ht="15" customHeight="1" x14ac:dyDescent="0.25">
      <c r="C26" s="29">
        <v>5</v>
      </c>
      <c r="D26" s="27">
        <v>6</v>
      </c>
      <c r="E26" s="27">
        <v>7</v>
      </c>
      <c r="F26" s="27">
        <v>8</v>
      </c>
      <c r="G26" s="27">
        <v>7</v>
      </c>
      <c r="H26" s="27">
        <v>8</v>
      </c>
      <c r="I26" s="27">
        <v>8</v>
      </c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</row>
    <row r="27" spans="3:29" s="25" customFormat="1" ht="15" customHeight="1" x14ac:dyDescent="0.25">
      <c r="C27" s="29">
        <v>6</v>
      </c>
      <c r="D27" s="27">
        <v>7</v>
      </c>
      <c r="E27" s="27">
        <v>8</v>
      </c>
      <c r="F27" s="27">
        <v>8</v>
      </c>
      <c r="G27" s="27">
        <v>8</v>
      </c>
      <c r="H27" s="27">
        <v>9</v>
      </c>
      <c r="I27" s="27">
        <v>9</v>
      </c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</row>
    <row r="28" spans="3:29" s="25" customFormat="1" ht="59.25" customHeight="1" x14ac:dyDescent="0.25"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</row>
    <row r="29" spans="3:29" s="25" customFormat="1" ht="15" customHeight="1" x14ac:dyDescent="0.25"/>
    <row r="30" spans="3:29" s="6" customFormat="1" ht="15" customHeight="1" x14ac:dyDescent="0.25">
      <c r="C30" s="20" t="s">
        <v>56</v>
      </c>
    </row>
    <row r="31" spans="3:29" s="6" customFormat="1" ht="15" customHeight="1" x14ac:dyDescent="0.25"/>
    <row r="32" spans="3:29" s="25" customFormat="1" ht="15" customHeight="1" x14ac:dyDescent="0.25"/>
    <row r="33" spans="3:16" s="25" customFormat="1" ht="15" customHeight="1" x14ac:dyDescent="0.25">
      <c r="E33" s="82" t="s">
        <v>53</v>
      </c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4"/>
    </row>
    <row r="34" spans="3:16" s="25" customFormat="1" ht="15" customHeight="1" x14ac:dyDescent="0.25">
      <c r="E34" s="32">
        <v>1</v>
      </c>
      <c r="F34" s="32">
        <v>2</v>
      </c>
      <c r="G34" s="32">
        <v>3</v>
      </c>
      <c r="H34" s="32">
        <v>4</v>
      </c>
      <c r="I34" s="32">
        <v>5</v>
      </c>
      <c r="J34" s="32">
        <v>6</v>
      </c>
      <c r="K34" s="32">
        <v>7</v>
      </c>
      <c r="L34" s="32">
        <v>8</v>
      </c>
      <c r="M34" s="32">
        <v>9</v>
      </c>
      <c r="N34" s="32">
        <v>10</v>
      </c>
      <c r="O34" s="32">
        <v>11</v>
      </c>
      <c r="P34" s="32">
        <v>12</v>
      </c>
    </row>
    <row r="35" spans="3:16" s="25" customFormat="1" ht="15" customHeight="1" x14ac:dyDescent="0.25">
      <c r="C35" s="85" t="s">
        <v>57</v>
      </c>
      <c r="D35" s="31">
        <v>1</v>
      </c>
      <c r="E35" s="27">
        <v>1</v>
      </c>
      <c r="F35" s="27">
        <v>1</v>
      </c>
      <c r="G35" s="27">
        <v>1</v>
      </c>
      <c r="H35" s="27">
        <v>2</v>
      </c>
      <c r="I35" s="27">
        <v>3</v>
      </c>
      <c r="J35" s="27">
        <v>3</v>
      </c>
      <c r="K35" s="27">
        <v>4</v>
      </c>
      <c r="L35" s="27">
        <v>5</v>
      </c>
      <c r="M35" s="27">
        <v>6</v>
      </c>
      <c r="N35" s="27">
        <v>7</v>
      </c>
      <c r="O35" s="27">
        <v>7</v>
      </c>
      <c r="P35" s="27">
        <v>7</v>
      </c>
    </row>
    <row r="36" spans="3:16" s="25" customFormat="1" ht="15" customHeight="1" x14ac:dyDescent="0.25">
      <c r="C36" s="86"/>
      <c r="D36" s="31">
        <v>2</v>
      </c>
      <c r="E36" s="27">
        <v>2</v>
      </c>
      <c r="F36" s="27">
        <v>2</v>
      </c>
      <c r="G36" s="27">
        <v>2</v>
      </c>
      <c r="H36" s="27">
        <v>3</v>
      </c>
      <c r="I36" s="27">
        <v>4</v>
      </c>
      <c r="J36" s="27">
        <v>4</v>
      </c>
      <c r="K36" s="27">
        <v>5</v>
      </c>
      <c r="L36" s="27">
        <v>6</v>
      </c>
      <c r="M36" s="27">
        <v>6</v>
      </c>
      <c r="N36" s="27">
        <v>7</v>
      </c>
      <c r="O36" s="27">
        <v>7</v>
      </c>
      <c r="P36" s="27">
        <v>8</v>
      </c>
    </row>
    <row r="37" spans="3:16" s="25" customFormat="1" ht="15" customHeight="1" x14ac:dyDescent="0.25">
      <c r="C37" s="86"/>
      <c r="D37" s="31">
        <v>3</v>
      </c>
      <c r="E37" s="27">
        <v>2</v>
      </c>
      <c r="F37" s="27">
        <v>3</v>
      </c>
      <c r="G37" s="27">
        <v>3</v>
      </c>
      <c r="H37" s="27">
        <v>3</v>
      </c>
      <c r="I37" s="27">
        <v>4</v>
      </c>
      <c r="J37" s="27">
        <v>5</v>
      </c>
      <c r="K37" s="27">
        <v>6</v>
      </c>
      <c r="L37" s="27">
        <v>7</v>
      </c>
      <c r="M37" s="27">
        <v>7</v>
      </c>
      <c r="N37" s="27">
        <v>8</v>
      </c>
      <c r="O37" s="27">
        <v>8</v>
      </c>
      <c r="P37" s="27">
        <v>8</v>
      </c>
    </row>
    <row r="38" spans="3:16" s="25" customFormat="1" ht="15" customHeight="1" x14ac:dyDescent="0.25">
      <c r="C38" s="86"/>
      <c r="D38" s="31">
        <v>4</v>
      </c>
      <c r="E38" s="27">
        <v>3</v>
      </c>
      <c r="F38" s="27">
        <v>4</v>
      </c>
      <c r="G38" s="27">
        <v>4</v>
      </c>
      <c r="H38" s="27">
        <v>4</v>
      </c>
      <c r="I38" s="27">
        <v>5</v>
      </c>
      <c r="J38" s="27">
        <v>6</v>
      </c>
      <c r="K38" s="27">
        <v>7</v>
      </c>
      <c r="L38" s="27">
        <v>8</v>
      </c>
      <c r="M38" s="27">
        <v>8</v>
      </c>
      <c r="N38" s="27">
        <v>9</v>
      </c>
      <c r="O38" s="27">
        <v>9</v>
      </c>
      <c r="P38" s="27">
        <v>9</v>
      </c>
    </row>
    <row r="39" spans="3:16" s="25" customFormat="1" ht="15" customHeight="1" x14ac:dyDescent="0.25">
      <c r="C39" s="86"/>
      <c r="D39" s="31">
        <v>5</v>
      </c>
      <c r="E39" s="27">
        <v>4</v>
      </c>
      <c r="F39" s="27">
        <v>4</v>
      </c>
      <c r="G39" s="27">
        <v>4</v>
      </c>
      <c r="H39" s="27">
        <v>5</v>
      </c>
      <c r="I39" s="27">
        <v>6</v>
      </c>
      <c r="J39" s="27">
        <v>7</v>
      </c>
      <c r="K39" s="27">
        <v>8</v>
      </c>
      <c r="L39" s="27">
        <v>8</v>
      </c>
      <c r="M39" s="27">
        <v>9</v>
      </c>
      <c r="N39" s="27">
        <v>9</v>
      </c>
      <c r="O39" s="27">
        <v>9</v>
      </c>
      <c r="P39" s="27">
        <v>9</v>
      </c>
    </row>
    <row r="40" spans="3:16" s="25" customFormat="1" ht="15" customHeight="1" x14ac:dyDescent="0.25">
      <c r="C40" s="86"/>
      <c r="D40" s="31">
        <v>6</v>
      </c>
      <c r="E40" s="27">
        <v>6</v>
      </c>
      <c r="F40" s="27">
        <v>6</v>
      </c>
      <c r="G40" s="27">
        <v>6</v>
      </c>
      <c r="H40" s="27">
        <v>7</v>
      </c>
      <c r="I40" s="27">
        <v>8</v>
      </c>
      <c r="J40" s="27">
        <v>8</v>
      </c>
      <c r="K40" s="27">
        <v>9</v>
      </c>
      <c r="L40" s="27">
        <v>9</v>
      </c>
      <c r="M40" s="27">
        <v>10</v>
      </c>
      <c r="N40" s="27">
        <v>10</v>
      </c>
      <c r="O40" s="27">
        <v>10</v>
      </c>
      <c r="P40" s="27">
        <v>10</v>
      </c>
    </row>
    <row r="41" spans="3:16" s="25" customFormat="1" ht="15" customHeight="1" x14ac:dyDescent="0.25">
      <c r="C41" s="86"/>
      <c r="D41" s="31">
        <v>7</v>
      </c>
      <c r="E41" s="27">
        <v>7</v>
      </c>
      <c r="F41" s="27">
        <v>7</v>
      </c>
      <c r="G41" s="27">
        <v>7</v>
      </c>
      <c r="H41" s="27">
        <v>8</v>
      </c>
      <c r="I41" s="27">
        <v>9</v>
      </c>
      <c r="J41" s="27">
        <v>9</v>
      </c>
      <c r="K41" s="27">
        <v>9</v>
      </c>
      <c r="L41" s="27">
        <v>10</v>
      </c>
      <c r="M41" s="27">
        <v>10</v>
      </c>
      <c r="N41" s="27">
        <v>11</v>
      </c>
      <c r="O41" s="27">
        <v>11</v>
      </c>
      <c r="P41" s="27">
        <v>11</v>
      </c>
    </row>
    <row r="42" spans="3:16" s="25" customFormat="1" ht="15" customHeight="1" x14ac:dyDescent="0.25">
      <c r="C42" s="86"/>
      <c r="D42" s="31">
        <v>8</v>
      </c>
      <c r="E42" s="27">
        <v>8</v>
      </c>
      <c r="F42" s="27">
        <v>8</v>
      </c>
      <c r="G42" s="27">
        <v>8</v>
      </c>
      <c r="H42" s="27">
        <v>9</v>
      </c>
      <c r="I42" s="27">
        <v>10</v>
      </c>
      <c r="J42" s="27">
        <v>10</v>
      </c>
      <c r="K42" s="27">
        <v>10</v>
      </c>
      <c r="L42" s="27">
        <v>10</v>
      </c>
      <c r="M42" s="27">
        <v>10</v>
      </c>
      <c r="N42" s="27">
        <v>11</v>
      </c>
      <c r="O42" s="27">
        <v>11</v>
      </c>
      <c r="P42" s="27">
        <v>11</v>
      </c>
    </row>
    <row r="43" spans="3:16" s="25" customFormat="1" ht="15" customHeight="1" x14ac:dyDescent="0.25">
      <c r="C43" s="86"/>
      <c r="D43" s="31">
        <v>9</v>
      </c>
      <c r="E43" s="27">
        <v>9</v>
      </c>
      <c r="F43" s="27">
        <v>9</v>
      </c>
      <c r="G43" s="27">
        <v>9</v>
      </c>
      <c r="H43" s="27">
        <v>10</v>
      </c>
      <c r="I43" s="27">
        <v>10</v>
      </c>
      <c r="J43" s="27">
        <v>10</v>
      </c>
      <c r="K43" s="27">
        <v>11</v>
      </c>
      <c r="L43" s="27">
        <v>11</v>
      </c>
      <c r="M43" s="27">
        <v>11</v>
      </c>
      <c r="N43" s="27">
        <v>12</v>
      </c>
      <c r="O43" s="27">
        <v>12</v>
      </c>
      <c r="P43" s="27">
        <v>12</v>
      </c>
    </row>
    <row r="44" spans="3:16" s="25" customFormat="1" ht="15" customHeight="1" x14ac:dyDescent="0.25">
      <c r="C44" s="86"/>
      <c r="D44" s="31">
        <v>10</v>
      </c>
      <c r="E44" s="27">
        <v>10</v>
      </c>
      <c r="F44" s="27">
        <v>10</v>
      </c>
      <c r="G44" s="27">
        <v>10</v>
      </c>
      <c r="H44" s="27">
        <v>11</v>
      </c>
      <c r="I44" s="27">
        <v>11</v>
      </c>
      <c r="J44" s="27">
        <v>11</v>
      </c>
      <c r="K44" s="27">
        <v>11</v>
      </c>
      <c r="L44" s="27">
        <v>12</v>
      </c>
      <c r="M44" s="27">
        <v>12</v>
      </c>
      <c r="N44" s="27">
        <v>12</v>
      </c>
      <c r="O44" s="27">
        <v>12</v>
      </c>
      <c r="P44" s="27">
        <v>12</v>
      </c>
    </row>
    <row r="45" spans="3:16" s="25" customFormat="1" ht="15" customHeight="1" x14ac:dyDescent="0.25">
      <c r="C45" s="86"/>
      <c r="D45" s="31">
        <v>11</v>
      </c>
      <c r="E45" s="27">
        <v>11</v>
      </c>
      <c r="F45" s="27">
        <v>11</v>
      </c>
      <c r="G45" s="27">
        <v>11</v>
      </c>
      <c r="H45" s="27">
        <v>11</v>
      </c>
      <c r="I45" s="27">
        <v>12</v>
      </c>
      <c r="J45" s="27">
        <v>12</v>
      </c>
      <c r="K45" s="27">
        <v>12</v>
      </c>
      <c r="L45" s="27">
        <v>12</v>
      </c>
      <c r="M45" s="27">
        <v>12</v>
      </c>
      <c r="N45" s="27">
        <v>12</v>
      </c>
      <c r="O45" s="27">
        <v>12</v>
      </c>
      <c r="P45" s="27">
        <v>12</v>
      </c>
    </row>
    <row r="46" spans="3:16" s="25" customFormat="1" ht="15" customHeight="1" x14ac:dyDescent="0.25">
      <c r="C46" s="87"/>
      <c r="D46" s="31">
        <v>12</v>
      </c>
      <c r="E46" s="27">
        <v>12</v>
      </c>
      <c r="F46" s="27">
        <v>12</v>
      </c>
      <c r="G46" s="27">
        <v>12</v>
      </c>
      <c r="H46" s="27">
        <v>12</v>
      </c>
      <c r="I46" s="27">
        <v>12</v>
      </c>
      <c r="J46" s="27">
        <v>12</v>
      </c>
      <c r="K46" s="27">
        <v>12</v>
      </c>
      <c r="L46" s="27">
        <v>12</v>
      </c>
      <c r="M46" s="27">
        <v>12</v>
      </c>
      <c r="N46" s="27">
        <v>12</v>
      </c>
      <c r="O46" s="27">
        <v>12</v>
      </c>
      <c r="P46" s="27">
        <v>12</v>
      </c>
    </row>
    <row r="47" spans="3:16" s="25" customFormat="1" ht="15" customHeight="1" x14ac:dyDescent="0.25"/>
    <row r="48" spans="3:16" s="25" customFormat="1" ht="15" customHeight="1" x14ac:dyDescent="0.25"/>
    <row r="49" s="25" customFormat="1" ht="15" customHeight="1" x14ac:dyDescent="0.25"/>
    <row r="50" s="25" customFormat="1" ht="21.95" customHeight="1" x14ac:dyDescent="0.25"/>
    <row r="51" s="25" customFormat="1" ht="21.95" hidden="1" customHeight="1" x14ac:dyDescent="0.25"/>
    <row r="52" s="25" customFormat="1" ht="21.95" hidden="1" customHeight="1" x14ac:dyDescent="0.25"/>
    <row r="53" s="25" customFormat="1" ht="21.95" hidden="1" customHeight="1" x14ac:dyDescent="0.25"/>
    <row r="54" s="25" customFormat="1" ht="21.95" hidden="1" customHeight="1" x14ac:dyDescent="0.25"/>
    <row r="55" s="25" customFormat="1" ht="21.95" hidden="1" customHeight="1" x14ac:dyDescent="0.25"/>
    <row r="56" s="25" customFormat="1" ht="21.95" hidden="1" customHeight="1" x14ac:dyDescent="0.25"/>
    <row r="57" s="25" customFormat="1" ht="21.95" hidden="1" customHeight="1" x14ac:dyDescent="0.25"/>
    <row r="58" s="25" customFormat="1" ht="21.95" hidden="1" customHeight="1" x14ac:dyDescent="0.25"/>
    <row r="59" s="25" customFormat="1" ht="21.95" hidden="1" customHeight="1" x14ac:dyDescent="0.25"/>
    <row r="60" s="25" customFormat="1" ht="21.95" hidden="1" customHeight="1" x14ac:dyDescent="0.25"/>
    <row r="61" s="25" customFormat="1" ht="21.95" hidden="1" customHeight="1" x14ac:dyDescent="0.25"/>
    <row r="62" s="25" customFormat="1" ht="21.95" hidden="1" customHeight="1" x14ac:dyDescent="0.25"/>
    <row r="63" s="25" customFormat="1" ht="21.95" hidden="1" customHeight="1" x14ac:dyDescent="0.25"/>
    <row r="64" s="25" customFormat="1" ht="21.95" hidden="1" customHeight="1" x14ac:dyDescent="0.25"/>
    <row r="65" s="25" customFormat="1" ht="21.95" hidden="1" customHeight="1" x14ac:dyDescent="0.25"/>
    <row r="66" s="25" customFormat="1" ht="21.95" hidden="1" customHeight="1" x14ac:dyDescent="0.25"/>
    <row r="67" s="25" customFormat="1" ht="21.95" hidden="1" customHeight="1" x14ac:dyDescent="0.25"/>
    <row r="68" s="25" customFormat="1" ht="21.95" hidden="1" customHeight="1" x14ac:dyDescent="0.25"/>
    <row r="69" s="25" customFormat="1" ht="21.95" hidden="1" customHeight="1" x14ac:dyDescent="0.25"/>
    <row r="70" s="25" customFormat="1" ht="21.95" hidden="1" customHeight="1" x14ac:dyDescent="0.25"/>
    <row r="71" s="25" customFormat="1" ht="21.95" hidden="1" customHeight="1" x14ac:dyDescent="0.25"/>
    <row r="72" s="25" customFormat="1" ht="21.95" hidden="1" customHeight="1" x14ac:dyDescent="0.25"/>
    <row r="73" s="25" customFormat="1" ht="21.95" hidden="1" customHeight="1" x14ac:dyDescent="0.25"/>
    <row r="74" s="25" customFormat="1" ht="21.95" hidden="1" customHeight="1" x14ac:dyDescent="0.25"/>
    <row r="75" s="25" customFormat="1" ht="21.95" hidden="1" customHeight="1" x14ac:dyDescent="0.25"/>
    <row r="76" s="25" customFormat="1" ht="21.95" hidden="1" customHeight="1" x14ac:dyDescent="0.25"/>
    <row r="77" s="25" customFormat="1" ht="21.95" hidden="1" customHeight="1" x14ac:dyDescent="0.25"/>
    <row r="78" s="25" customFormat="1" ht="21.95" hidden="1" customHeight="1" x14ac:dyDescent="0.25"/>
    <row r="79" s="25" customFormat="1" ht="21.95" hidden="1" customHeight="1" x14ac:dyDescent="0.25"/>
    <row r="80" s="25" customFormat="1" ht="21.95" hidden="1" customHeight="1" x14ac:dyDescent="0.25"/>
    <row r="81" s="25" customFormat="1" ht="21.95" hidden="1" customHeight="1" x14ac:dyDescent="0.25"/>
    <row r="82" s="25" customFormat="1" ht="21.95" hidden="1" customHeight="1" x14ac:dyDescent="0.25"/>
    <row r="83" s="25" customFormat="1" ht="21.95" hidden="1" customHeight="1" x14ac:dyDescent="0.25"/>
    <row r="84" s="25" customFormat="1" ht="21.95" hidden="1" customHeight="1" x14ac:dyDescent="0.25"/>
    <row r="85" s="25" customFormat="1" ht="21.95" hidden="1" customHeight="1" x14ac:dyDescent="0.25"/>
    <row r="86" s="25" customFormat="1" ht="21.95" hidden="1" customHeight="1" x14ac:dyDescent="0.25"/>
    <row r="87" s="25" customFormat="1" ht="21.95" hidden="1" customHeight="1" x14ac:dyDescent="0.25"/>
    <row r="88" s="25" customFormat="1" ht="21.95" hidden="1" customHeight="1" x14ac:dyDescent="0.25"/>
    <row r="89" s="25" customFormat="1" ht="21.95" hidden="1" customHeight="1" x14ac:dyDescent="0.25"/>
    <row r="90" s="25" customFormat="1" ht="21.95" hidden="1" customHeight="1" x14ac:dyDescent="0.25"/>
    <row r="91" s="25" customFormat="1" ht="21.95" hidden="1" customHeight="1" x14ac:dyDescent="0.25"/>
    <row r="92" s="25" customFormat="1" ht="21.95" hidden="1" customHeight="1" x14ac:dyDescent="0.25"/>
    <row r="93" s="25" customFormat="1" ht="21.95" hidden="1" customHeight="1" x14ac:dyDescent="0.25"/>
    <row r="94" s="25" customFormat="1" ht="21.95" hidden="1" customHeight="1" x14ac:dyDescent="0.25"/>
    <row r="95" s="25" customFormat="1" ht="21.95" hidden="1" customHeight="1" x14ac:dyDescent="0.25"/>
    <row r="96" s="25" customFormat="1" ht="21.95" hidden="1" customHeight="1" x14ac:dyDescent="0.25"/>
    <row r="97" s="25" customFormat="1" ht="21.95" hidden="1" customHeight="1" x14ac:dyDescent="0.25"/>
    <row r="98" s="25" customFormat="1" ht="21.95" hidden="1" customHeight="1" x14ac:dyDescent="0.25"/>
    <row r="99" s="25" customFormat="1" ht="21.95" hidden="1" customHeight="1" x14ac:dyDescent="0.25"/>
    <row r="100" s="25" customFormat="1" ht="21.95" hidden="1" customHeight="1" x14ac:dyDescent="0.25"/>
    <row r="101" s="25" customFormat="1" ht="21.95" hidden="1" customHeight="1" x14ac:dyDescent="0.25"/>
    <row r="102" s="25" customFormat="1" ht="21.95" hidden="1" customHeight="1" x14ac:dyDescent="0.25"/>
    <row r="103" s="25" customFormat="1" ht="21.95" hidden="1" customHeight="1" x14ac:dyDescent="0.25"/>
    <row r="104" s="25" customFormat="1" ht="21.95" hidden="1" customHeight="1" x14ac:dyDescent="0.25"/>
    <row r="105" s="25" customFormat="1" ht="21.95" hidden="1" customHeight="1" x14ac:dyDescent="0.25"/>
    <row r="106" s="25" customFormat="1" ht="21.95" hidden="1" customHeight="1" x14ac:dyDescent="0.25"/>
    <row r="107" s="25" customFormat="1" ht="21.95" hidden="1" customHeight="1" x14ac:dyDescent="0.25"/>
    <row r="108" s="25" customFormat="1" ht="21.95" hidden="1" customHeight="1" x14ac:dyDescent="0.25"/>
    <row r="109" s="25" customFormat="1" ht="21.95" hidden="1" customHeight="1" x14ac:dyDescent="0.25"/>
    <row r="110" s="25" customFormat="1" ht="21.95" hidden="1" customHeight="1" x14ac:dyDescent="0.25"/>
    <row r="111" s="25" customFormat="1" ht="21.95" customHeight="1" x14ac:dyDescent="0.25"/>
    <row r="112" s="25" customFormat="1" ht="21.95" customHeight="1" x14ac:dyDescent="0.25"/>
    <row r="113" s="25" customFormat="1" ht="21.95" customHeight="1" x14ac:dyDescent="0.25"/>
    <row r="114" s="25" customFormat="1" ht="21.95" customHeight="1" x14ac:dyDescent="0.25"/>
    <row r="115" s="25" customFormat="1" ht="21.95" customHeight="1" x14ac:dyDescent="0.25"/>
    <row r="116" s="25" customFormat="1" ht="21.95" customHeight="1" x14ac:dyDescent="0.25"/>
    <row r="117" s="25" customFormat="1" ht="21.95" customHeight="1" x14ac:dyDescent="0.25"/>
    <row r="118" s="25" customFormat="1" ht="21.95" customHeight="1" x14ac:dyDescent="0.25"/>
    <row r="119" s="25" customFormat="1" ht="21.95" customHeight="1" x14ac:dyDescent="0.25"/>
    <row r="120" s="25" customFormat="1" ht="21.95" customHeight="1" x14ac:dyDescent="0.25"/>
    <row r="121" ht="21.95" customHeight="1" x14ac:dyDescent="0.25"/>
    <row r="122" ht="21.95" customHeight="1" x14ac:dyDescent="0.25"/>
    <row r="123" ht="21.95" customHeight="1" x14ac:dyDescent="0.25"/>
    <row r="124" ht="21.95" customHeight="1" x14ac:dyDescent="0.25"/>
    <row r="125" ht="21.95" customHeight="1" x14ac:dyDescent="0.25"/>
    <row r="126" ht="21.95" customHeight="1" x14ac:dyDescent="0.25"/>
    <row r="127" ht="21.95" customHeight="1" x14ac:dyDescent="0.25"/>
    <row r="128" ht="21.95" customHeight="1" x14ac:dyDescent="0.25"/>
    <row r="129" ht="21.95" customHeight="1" x14ac:dyDescent="0.25"/>
    <row r="130" ht="21.95" customHeight="1" x14ac:dyDescent="0.25"/>
    <row r="131" ht="21.95" customHeight="1" x14ac:dyDescent="0.25"/>
    <row r="132" ht="21.95" customHeight="1" x14ac:dyDescent="0.25"/>
    <row r="133" ht="21.95" customHeight="1" x14ac:dyDescent="0.25"/>
    <row r="134" ht="21.95" customHeight="1" x14ac:dyDescent="0.25"/>
    <row r="135" ht="21.95" customHeight="1" x14ac:dyDescent="0.25"/>
    <row r="136" ht="21.95" customHeight="1" x14ac:dyDescent="0.25"/>
    <row r="137" ht="21.95" customHeight="1" x14ac:dyDescent="0.25"/>
    <row r="138" ht="21.95" customHeight="1" x14ac:dyDescent="0.25"/>
    <row r="139" ht="21.95" customHeight="1" x14ac:dyDescent="0.25"/>
    <row r="140" ht="21.95" customHeight="1" x14ac:dyDescent="0.25"/>
    <row r="141" ht="21.95" customHeight="1" x14ac:dyDescent="0.25"/>
    <row r="142" ht="21.95" customHeight="1" x14ac:dyDescent="0.25"/>
    <row r="143" ht="21.95" customHeight="1" x14ac:dyDescent="0.25"/>
    <row r="144" ht="21.95" customHeight="1" x14ac:dyDescent="0.25"/>
    <row r="145" ht="21.95" customHeight="1" x14ac:dyDescent="0.25"/>
    <row r="146" ht="21.95" customHeight="1" x14ac:dyDescent="0.25"/>
    <row r="147" ht="21.95" customHeight="1" x14ac:dyDescent="0.25"/>
    <row r="148" ht="21.95" customHeight="1" x14ac:dyDescent="0.25"/>
    <row r="149" ht="21.95" customHeight="1" x14ac:dyDescent="0.25"/>
    <row r="150" ht="21.95" customHeight="1" x14ac:dyDescent="0.25"/>
    <row r="151" ht="21.95" customHeight="1" x14ac:dyDescent="0.25"/>
    <row r="152" ht="21.95" customHeight="1" x14ac:dyDescent="0.25"/>
    <row r="153" ht="21.95" customHeight="1" x14ac:dyDescent="0.25"/>
    <row r="154" ht="21.95" customHeight="1" x14ac:dyDescent="0.25"/>
    <row r="155" ht="21.95" customHeight="1" x14ac:dyDescent="0.25"/>
    <row r="156" ht="21.95" customHeight="1" x14ac:dyDescent="0.25"/>
    <row r="157" ht="21.95" customHeight="1" x14ac:dyDescent="0.25"/>
    <row r="158" ht="21.95" customHeight="1" x14ac:dyDescent="0.25"/>
    <row r="159" ht="21.95" customHeight="1" x14ac:dyDescent="0.25"/>
    <row r="160" ht="21.95" customHeight="1" x14ac:dyDescent="0.25"/>
    <row r="161" ht="21.95" customHeight="1" x14ac:dyDescent="0.25"/>
    <row r="162" ht="21.95" customHeight="1" x14ac:dyDescent="0.25"/>
    <row r="163" ht="21.95" customHeight="1" x14ac:dyDescent="0.25"/>
    <row r="164" ht="21.95" customHeight="1" x14ac:dyDescent="0.25"/>
    <row r="165" ht="21.95" customHeight="1" x14ac:dyDescent="0.25"/>
    <row r="166" ht="21.95" customHeight="1" x14ac:dyDescent="0.25"/>
    <row r="167" ht="21.95" customHeight="1" x14ac:dyDescent="0.25"/>
    <row r="168" ht="21.95" customHeight="1" x14ac:dyDescent="0.25"/>
    <row r="169" ht="21.95" customHeight="1" x14ac:dyDescent="0.25"/>
    <row r="170" ht="21.95" customHeight="1" x14ac:dyDescent="0.25"/>
    <row r="171" ht="21.95" customHeight="1" x14ac:dyDescent="0.25"/>
    <row r="172" ht="21.95" customHeight="1" x14ac:dyDescent="0.25"/>
    <row r="173" ht="21.95" customHeight="1" x14ac:dyDescent="0.25"/>
    <row r="174" ht="21.95" customHeight="1" x14ac:dyDescent="0.25"/>
    <row r="175" ht="21.95" customHeight="1" x14ac:dyDescent="0.25"/>
    <row r="176" ht="21.95" customHeight="1" x14ac:dyDescent="0.25"/>
    <row r="177" ht="21.95" customHeight="1" x14ac:dyDescent="0.25"/>
    <row r="178" ht="21.95" customHeight="1" x14ac:dyDescent="0.25"/>
    <row r="179" ht="21.95" customHeight="1" x14ac:dyDescent="0.25"/>
  </sheetData>
  <mergeCells count="11">
    <mergeCell ref="T8:W8"/>
    <mergeCell ref="Z8:AC8"/>
    <mergeCell ref="AF8:AI8"/>
    <mergeCell ref="T20:V20"/>
    <mergeCell ref="Y20:AA20"/>
    <mergeCell ref="D7:O7"/>
    <mergeCell ref="D19:I19"/>
    <mergeCell ref="D20:F20"/>
    <mergeCell ref="G20:I20"/>
    <mergeCell ref="C35:C46"/>
    <mergeCell ref="E33:P33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A77916942581B48945393E850C2B96B" ma:contentTypeVersion="13" ma:contentTypeDescription="Create a new document." ma:contentTypeScope="" ma:versionID="4617976bf87176c4760f2a03f2047d4d">
  <xsd:schema xmlns:xsd="http://www.w3.org/2001/XMLSchema" xmlns:xs="http://www.w3.org/2001/XMLSchema" xmlns:p="http://schemas.microsoft.com/office/2006/metadata/properties" xmlns:ns3="bb3cd0ff-8a86-4652-bbb3-a9cd2acd5485" xmlns:ns4="daa2e740-78df-4728-9622-90a6edba4b58" targetNamespace="http://schemas.microsoft.com/office/2006/metadata/properties" ma:root="true" ma:fieldsID="06ecda991cb17b5aa077c7d35caa1849" ns3:_="" ns4:_="">
    <xsd:import namespace="bb3cd0ff-8a86-4652-bbb3-a9cd2acd5485"/>
    <xsd:import namespace="daa2e740-78df-4728-9622-90a6edba4b5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ingHintHash" minOccurs="0"/>
                <xsd:element ref="ns3:SharedWithDetails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3cd0ff-8a86-4652-bbb3-a9cd2acd548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a2e740-78df-4728-9622-90a6edba4b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34E47C1-9E36-418A-8E34-8B06558FBB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3cd0ff-8a86-4652-bbb3-a9cd2acd5485"/>
    <ds:schemaRef ds:uri="daa2e740-78df-4728-9622-90a6edba4b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DD46F1E-2AE5-4AE3-BBAF-2FC3E30D814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6D33649-F248-4622-9D5C-2C7AE4EDC6B2}">
  <ds:schemaRefs>
    <ds:schemaRef ds:uri="http://purl.org/dc/terms/"/>
    <ds:schemaRef ds:uri="http://purl.org/dc/elements/1.1/"/>
    <ds:schemaRef ds:uri="daa2e740-78df-4728-9622-90a6edba4b58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bb3cd0ff-8a86-4652-bbb3-a9cd2acd548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REBA Calculator</vt:lpstr>
      <vt:lpstr>Lookup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Diana M. Rodriguez C.</cp:lastModifiedBy>
  <dcterms:created xsi:type="dcterms:W3CDTF">2016-02-03T20:29:25Z</dcterms:created>
  <dcterms:modified xsi:type="dcterms:W3CDTF">2022-05-12T22:24:58Z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0x0101008A77916942581B48945393E850C2B96B</vt:lpwstr>
  </property>
</Properties>
</file>